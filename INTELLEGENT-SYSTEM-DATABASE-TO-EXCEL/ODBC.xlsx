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xampp\htdocs\niceadmin\INTELLEGENT-SYSTEM-DATABASE-TO-EXCEL\"/>
    </mc:Choice>
  </mc:AlternateContent>
  <xr:revisionPtr revIDLastSave="0" documentId="8_{628428CB-9097-487C-8927-4472D787FA9E}" xr6:coauthVersionLast="47" xr6:coauthVersionMax="47" xr10:uidLastSave="{00000000-0000-0000-0000-000000000000}"/>
  <bookViews>
    <workbookView xWindow="0" yWindow="0" windowWidth="28800" windowHeight="16200" firstSheet="4" activeTab="9" xr2:uid="{505816AB-762D-4C9B-A848-B69AFEA3F1E5}"/>
  </bookViews>
  <sheets>
    <sheet name="travel_agents" sheetId="9" r:id="rId1"/>
    <sheet name="customers" sheetId="8" r:id="rId2"/>
    <sheet name="cars" sheetId="7" r:id="rId3"/>
    <sheet name="car_sales" sheetId="6" r:id="rId4"/>
    <sheet name="car_reviews" sheetId="5" r:id="rId5"/>
    <sheet name="car_rentals" sheetId="4" r:id="rId6"/>
    <sheet name="car_maintenance" sheetId="3" r:id="rId7"/>
    <sheet name="car_blocked_dates" sheetId="2" r:id="rId8"/>
    <sheet name="Pivots" sheetId="1" r:id="rId9"/>
    <sheet name="Dashboard" sheetId="12" r:id="rId10"/>
    <sheet name="reports" sheetId="16" r:id="rId11"/>
  </sheets>
  <definedNames>
    <definedName name="ExternalData_1" localSheetId="7" hidden="1">'car_blocked_dates'!$A$1:$G$3</definedName>
    <definedName name="ExternalData_2" localSheetId="6" hidden="1">'car_maintenance'!$A$1:$J$3</definedName>
    <definedName name="ExternalData_3" localSheetId="5" hidden="1">'car_rentals'!$A$1:$AX$64</definedName>
    <definedName name="ExternalData_4" localSheetId="4" hidden="1">'car_reviews'!$A$1:$K$16</definedName>
    <definedName name="ExternalData_5" localSheetId="3" hidden="1">'car_sales'!$A$1:$I$8</definedName>
    <definedName name="ExternalData_6" localSheetId="2" hidden="1">'cars'!$A$1:$Q$21</definedName>
    <definedName name="ExternalData_7" localSheetId="1" hidden="1">'customers'!$A$1:$M$11</definedName>
    <definedName name="ExternalData_8" localSheetId="0" hidden="1">travel_agents!$A$1:$L$7</definedName>
    <definedName name="Slicer_Date">#N/A</definedName>
    <definedName name="Slicer_Month1">#N/A</definedName>
    <definedName name="Slicer_Year1">#N/A</definedName>
    <definedName name="Slicer_Year2">#N/A</definedName>
  </definedNames>
  <calcPr calcId="191029"/>
  <pivotCaches>
    <pivotCache cacheId="119" r:id="rId12"/>
    <pivotCache cacheId="106" r:id="rId13"/>
    <pivotCache cacheId="118"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0" i="1" l="1"/>
  <c r="B130" i="1"/>
  <c r="R31" i="1"/>
  <c r="O107" i="1"/>
  <c r="N107" i="1"/>
  <c r="N69" i="1"/>
  <c r="P31" i="1"/>
  <c r="N31" i="1"/>
  <c r="U19" i="1"/>
  <c r="R54" i="1"/>
  <c r="Q54" i="1"/>
  <c r="P54" i="1"/>
  <c r="O54" i="1"/>
  <c r="N54" i="1"/>
  <c r="M54" i="1"/>
  <c r="L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2DD3FD-F892-49F0-AB04-018E14ADB519}" keepAlive="1" name="Query - car_blocked_dates" description="Connection to the 'car_blocked_dates' query in the workbook." type="5" refreshedVersion="8" background="1" saveData="1">
    <dbPr connection="Provider=Microsoft.Mashup.OleDb.1;Data Source=$Workbook$;Location=car_blocked_dates;Extended Properties=&quot;&quot;" command="SELECT * FROM [car_blocked_dates]"/>
  </connection>
  <connection id="2" xr16:uid="{30B76806-935B-4522-B8F4-5126390C65E1}" keepAlive="1" name="Query - car_maintenance" description="Connection to the 'car_maintenance' query in the workbook." type="5" refreshedVersion="8" background="1" saveData="1">
    <dbPr connection="Provider=Microsoft.Mashup.OleDb.1;Data Source=$Workbook$;Location=car_maintenance;Extended Properties=&quot;&quot;" command="SELECT * FROM [car_maintenance]"/>
  </connection>
  <connection id="3" xr16:uid="{A633464C-A055-4D39-A549-93B4CCA5FD18}" keepAlive="1" name="Query - car_rentals" description="Connection to the 'car_rentals' query in the workbook." type="5" refreshedVersion="8" background="1" saveData="1">
    <dbPr connection="Provider=Microsoft.Mashup.OleDb.1;Data Source=$Workbook$;Location=car_rentals;Extended Properties=&quot;&quot;" command="SELECT * FROM [car_rentals]"/>
  </connection>
  <connection id="4" xr16:uid="{B0145492-EE72-4295-8B19-76F342814E5B}" keepAlive="1" name="Query - car_rentals (2)" description="Connection to the 'car_rentals (2)' query in the workbook." type="5" refreshedVersion="0" background="1">
    <dbPr connection="Provider=Microsoft.Mashup.OleDb.1;Data Source=$Workbook$;Location=&quot;car_rentals (2)&quot;;Extended Properties=&quot;&quot;" command="SELECT * FROM [car_rentals (2)]"/>
  </connection>
  <connection id="5" xr16:uid="{FD852356-CA27-406A-922C-81FB8157185B}" keepAlive="1" name="Query - car_reviews" description="Connection to the 'car_reviews' query in the workbook." type="5" refreshedVersion="8" background="1" saveData="1">
    <dbPr connection="Provider=Microsoft.Mashup.OleDb.1;Data Source=$Workbook$;Location=car_reviews;Extended Properties=&quot;&quot;" command="SELECT * FROM [car_reviews]"/>
  </connection>
  <connection id="6" xr16:uid="{68E1B307-0AF6-4F13-A56C-BFEFC18DE29D}" keepAlive="1" name="Query - car_sales" description="Connection to the 'car_sales' query in the workbook." type="5" refreshedVersion="8" background="1" saveData="1">
    <dbPr connection="Provider=Microsoft.Mashup.OleDb.1;Data Source=$Workbook$;Location=car_sales;Extended Properties=&quot;&quot;" command="SELECT * FROM [car_sales]"/>
  </connection>
  <connection id="7" xr16:uid="{AB8CB89E-F8CA-4305-B3E4-C3D70273EAF1}" keepAlive="1" name="Query - cars" description="Connection to the 'cars' query in the workbook." type="5" refreshedVersion="8" background="1" saveData="1">
    <dbPr connection="Provider=Microsoft.Mashup.OleDb.1;Data Source=$Workbook$;Location=cars;Extended Properties=&quot;&quot;" command="SELECT * FROM [cars]"/>
  </connection>
  <connection id="8" xr16:uid="{1A55B061-01F1-4600-83EE-181D5C89BC3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9" xr16:uid="{4A1374A8-F587-47B5-98DC-FBEF1E3786B8}" keepAlive="1" name="Query - travel_agents" description="Connection to the 'travel_agents' query in the workbook." type="5" refreshedVersion="8" background="1" saveData="1">
    <dbPr connection="Provider=Microsoft.Mashup.OleDb.1;Data Source=$Workbook$;Location=travel_agents;Extended Properties=&quot;&quot;" command="SELECT * FROM [travel_agents]"/>
  </connection>
</connections>
</file>

<file path=xl/sharedStrings.xml><?xml version="1.0" encoding="utf-8"?>
<sst xmlns="http://schemas.openxmlformats.org/spreadsheetml/2006/main" count="2029" uniqueCount="633">
  <si>
    <t>id</t>
  </si>
  <si>
    <t>car_model</t>
  </si>
  <si>
    <t>block_start</t>
  </si>
  <si>
    <t>block_end</t>
  </si>
  <si>
    <t>reason</t>
  </si>
  <si>
    <t>created_by</t>
  </si>
  <si>
    <t>created_at</t>
  </si>
  <si>
    <t>Honda Civic</t>
  </si>
  <si>
    <t>Repair</t>
  </si>
  <si>
    <t>staff@gmail.com</t>
  </si>
  <si>
    <t>Inspection</t>
  </si>
  <si>
    <t>customer_id</t>
  </si>
  <si>
    <t>username</t>
  </si>
  <si>
    <t>password</t>
  </si>
  <si>
    <t>full_name</t>
  </si>
  <si>
    <t>email</t>
  </si>
  <si>
    <t>phone</t>
  </si>
  <si>
    <t>address</t>
  </si>
  <si>
    <t>profile_picture</t>
  </si>
  <si>
    <t>status</t>
  </si>
  <si>
    <t>last_login</t>
  </si>
  <si>
    <t>updated_at</t>
  </si>
  <si>
    <t>CUST8350</t>
  </si>
  <si>
    <t>paolo123</t>
  </si>
  <si>
    <t>$2y$10$l2vwH.YGmjREiLtltR7aAu1HgLNn5ijFlEGa0HviScdBeVzfw257m</t>
  </si>
  <si>
    <t>Gabriel Paolo Madridano</t>
  </si>
  <si>
    <t>paolo@gmail.com</t>
  </si>
  <si>
    <t>09940213443</t>
  </si>
  <si>
    <t>Km6 Upper Balulang</t>
  </si>
  <si>
    <t>uploads/profiles/profile_CUST8350_1770611917.png</t>
  </si>
  <si>
    <t>Active</t>
  </si>
  <si>
    <t>CUST3509</t>
  </si>
  <si>
    <t>gabriel@gmail.com</t>
  </si>
  <si>
    <t>$2y$10$s60Km.iRTe1F6z31siNy7ubFCWV6EJfFRJMSqYuA1PzyQIiafq3Fe</t>
  </si>
  <si>
    <t>Gabriel</t>
  </si>
  <si>
    <t>g@gmail.com</t>
  </si>
  <si>
    <t>09619490469</t>
  </si>
  <si>
    <t>CUST9227</t>
  </si>
  <si>
    <t>test1</t>
  </si>
  <si>
    <t>$2y$10$7gqWt0/CQMdQiKP.9tIij.1EHObXG5xlQYPGoq43uJ3J6kcwxEZdC</t>
  </si>
  <si>
    <t>test@gmail.com</t>
  </si>
  <si>
    <t>09232424222</t>
  </si>
  <si>
    <t>CUST4541</t>
  </si>
  <si>
    <t>test3</t>
  </si>
  <si>
    <t>$2y$10$ILZT4K46l2dbGxvHqpREneZG0t.Kab5UAqvs9wRdkNOfr0eV.Feuq</t>
  </si>
  <si>
    <t>test3@gmail.com</t>
  </si>
  <si>
    <t>CUST3834</t>
  </si>
  <si>
    <t>paolo1</t>
  </si>
  <si>
    <t>$2y$10$HzzKb9wPmXOpdLnCxKQob.Cm2gmmNsgWTlbZvwk65g4jvt8x7DGKS</t>
  </si>
  <si>
    <t>gg</t>
  </si>
  <si>
    <t>p@gmail.com</t>
  </si>
  <si>
    <t>CUST-JDC</t>
  </si>
  <si>
    <t>jdelacruz</t>
  </si>
  <si>
    <t>$2y$10$abcdefghijklmnopqrstuvwxyz123456</t>
  </si>
  <si>
    <t>Juan Dela Cruz</t>
  </si>
  <si>
    <t>juan.delacruz@email.com</t>
  </si>
  <si>
    <t>09171234567</t>
  </si>
  <si>
    <t>Manila, Philippines</t>
  </si>
  <si>
    <t>CUST-MS</t>
  </si>
  <si>
    <t>msantos</t>
  </si>
  <si>
    <t>Maria Santos</t>
  </si>
  <si>
    <t>maria.santos@email.com</t>
  </si>
  <si>
    <t>09181234567</t>
  </si>
  <si>
    <t>Quezon City, Philippines</t>
  </si>
  <si>
    <t>CUST-PR</t>
  </si>
  <si>
    <t>preyes</t>
  </si>
  <si>
    <t>Pedro Reyes</t>
  </si>
  <si>
    <t>pedro.reyes@email.com</t>
  </si>
  <si>
    <t>09191234567</t>
  </si>
  <si>
    <t>Makati, Philippines</t>
  </si>
  <si>
    <t>CUST-AG</t>
  </si>
  <si>
    <t>agarcia</t>
  </si>
  <si>
    <t>Ana Garcia</t>
  </si>
  <si>
    <t>ana.garcia@email.com</t>
  </si>
  <si>
    <t>09201234567</t>
  </si>
  <si>
    <t>Pasig, Philippines</t>
  </si>
  <si>
    <t>CUST-RC</t>
  </si>
  <si>
    <t>rcruz</t>
  </si>
  <si>
    <t>Ramon Cruz</t>
  </si>
  <si>
    <t>ramon.cruz@email.com</t>
  </si>
  <si>
    <t>09211234567</t>
  </si>
  <si>
    <t>Taguig, Philippines</t>
  </si>
  <si>
    <t>car_id</t>
  </si>
  <si>
    <t>maintenance_type</t>
  </si>
  <si>
    <t>description</t>
  </si>
  <si>
    <t>cost</t>
  </si>
  <si>
    <t>maintenance_date</t>
  </si>
  <si>
    <t>next_service_date</t>
  </si>
  <si>
    <t>performed_by</t>
  </si>
  <si>
    <t>Tire Change</t>
  </si>
  <si>
    <t>wewqe</t>
  </si>
  <si>
    <t>admin</t>
  </si>
  <si>
    <t>Completed</t>
  </si>
  <si>
    <t>wdrwr</t>
  </si>
  <si>
    <t>agent_id</t>
  </si>
  <si>
    <t>agent_name</t>
  </si>
  <si>
    <t>agency_name</t>
  </si>
  <si>
    <t>specialization</t>
  </si>
  <si>
    <t>commission_rate</t>
  </si>
  <si>
    <t>total_bookings</t>
  </si>
  <si>
    <t>total_commission</t>
  </si>
  <si>
    <t>registered_date</t>
  </si>
  <si>
    <t>AGT001</t>
  </si>
  <si>
    <t>maria@travelph.com</t>
  </si>
  <si>
    <t>+639171234567</t>
  </si>
  <si>
    <t>Philippine Travel Experts</t>
  </si>
  <si>
    <t>All</t>
  </si>
  <si>
    <t>AGT002</t>
  </si>
  <si>
    <t>John Lim</t>
  </si>
  <si>
    <t>john@asiantravel.com</t>
  </si>
  <si>
    <t>+65981234567</t>
  </si>
  <si>
    <t>Asian Travel Hub</t>
  </si>
  <si>
    <t>Flights</t>
  </si>
  <si>
    <t>AGT003</t>
  </si>
  <si>
    <t>Sarah Johnson</t>
  </si>
  <si>
    <t>sarah@luxurytravel.com</t>
  </si>
  <si>
    <t>+441234567890</t>
  </si>
  <si>
    <t>Luxury Travel Co.</t>
  </si>
  <si>
    <t>Packages</t>
  </si>
  <si>
    <t>AGT9237</t>
  </si>
  <si>
    <t>James Bond</t>
  </si>
  <si>
    <t>James@gmail.com</t>
  </si>
  <si>
    <t>Loko</t>
  </si>
  <si>
    <t>AGT2306</t>
  </si>
  <si>
    <t>Paolo M</t>
  </si>
  <si>
    <t>Pmadridano@gmail.com</t>
  </si>
  <si>
    <t>096134214123</t>
  </si>
  <si>
    <t>KI</t>
  </si>
  <si>
    <t>AGT8711</t>
  </si>
  <si>
    <t>LOKK</t>
  </si>
  <si>
    <t>lok@gmail.co</t>
  </si>
  <si>
    <t>09564642123</t>
  </si>
  <si>
    <t>Tours</t>
  </si>
  <si>
    <t>name</t>
  </si>
  <si>
    <t>type</t>
  </si>
  <si>
    <t>daily_rate</t>
  </si>
  <si>
    <t>image</t>
  </si>
  <si>
    <t>features</t>
  </si>
  <si>
    <t>fuel_type</t>
  </si>
  <si>
    <t>transmission</t>
  </si>
  <si>
    <t>seating_capacity</t>
  </si>
  <si>
    <t>mileage_limit</t>
  </si>
  <si>
    <t>car_year</t>
  </si>
  <si>
    <t>license_plate</t>
  </si>
  <si>
    <t>vin</t>
  </si>
  <si>
    <t>color</t>
  </si>
  <si>
    <t>is_featured</t>
  </si>
  <si>
    <t>Kia Rio or Similar</t>
  </si>
  <si>
    <t>Economy</t>
  </si>
  <si>
    <t>assets/img/cars/kia-rio.jpg</t>
  </si>
  <si>
    <t>4-5 seats, Air Conditioning, Automatic, Fuel Efficient</t>
  </si>
  <si>
    <t>Gasoline</t>
  </si>
  <si>
    <t>Automatic</t>
  </si>
  <si>
    <t>Toyota Corolla or Similar</t>
  </si>
  <si>
    <t>assets/img/cars/toyota-corolla.jpg</t>
  </si>
  <si>
    <t>5 seats, Air Conditioning, Automatic, Spacious Trunk</t>
  </si>
  <si>
    <t>Honda Civic or Similar</t>
  </si>
  <si>
    <t>Compact</t>
  </si>
  <si>
    <t>assets/img/cars/honda-civic.jpg</t>
  </si>
  <si>
    <t>5 seats, Premium Sound, Automatic, GPS Navigation</t>
  </si>
  <si>
    <t>Ford Mustang or Similar</t>
  </si>
  <si>
    <t>SUV</t>
  </si>
  <si>
    <t>assets/img/cars/ford-mustang.jpg</t>
  </si>
  <si>
    <t>4 seats, Sports Car, Automatic, Premium Features</t>
  </si>
  <si>
    <t>BMW X7 or Similar</t>
  </si>
  <si>
    <t>Luxury</t>
  </si>
  <si>
    <t>assets/img/cars/bmw-x7.jpg</t>
  </si>
  <si>
    <t>7 seats, Leather Seats, Automatic, Premium Package</t>
  </si>
  <si>
    <t>Tesla Model 3 or Similar</t>
  </si>
  <si>
    <t>Electric</t>
  </si>
  <si>
    <t>assets/img/cars/tesla-model3.jpg</t>
  </si>
  <si>
    <t>5 seats, Electric, Autopilot, Premium Interior</t>
  </si>
  <si>
    <t xml:space="preserve">Toyota Corolla </t>
  </si>
  <si>
    <t>Mitsubishi Mirage</t>
  </si>
  <si>
    <t>assets/img/cars/mitsubishi-mirage.jpg</t>
  </si>
  <si>
    <t>4 seats, Air Conditioning, Manual, Compact</t>
  </si>
  <si>
    <t>Hyundai Accent</t>
  </si>
  <si>
    <t>assets/img/cars/hyundai-accent.jpg</t>
  </si>
  <si>
    <t>5 seats, Air Conditioning, Automatic, Bluetooth</t>
  </si>
  <si>
    <t/>
  </si>
  <si>
    <t>Mazda 3</t>
  </si>
  <si>
    <t>assets/img/cars/mazda-3.jpg</t>
  </si>
  <si>
    <t>5 seats, Leather Seats, Automatic, Sunroof</t>
  </si>
  <si>
    <t xml:space="preserve">Volkswagen Jetta </t>
  </si>
  <si>
    <t>assets/img/cars/volkswagen-jetta.jpg</t>
  </si>
  <si>
    <t>5 seats, Turbo Engine, Automatic, Premium Audio</t>
  </si>
  <si>
    <t xml:space="preserve">Hyundai Ioniq 5 </t>
  </si>
  <si>
    <t>assets/img/cars/hyundai-ioniq-5.jpg</t>
  </si>
  <si>
    <t>5 seats, Electric, V2L, Ultra Fast Charging</t>
  </si>
  <si>
    <t>original_price</t>
  </si>
  <si>
    <t>sale_price</t>
  </si>
  <si>
    <t>discount_percentage</t>
  </si>
  <si>
    <t>sale_start</t>
  </si>
  <si>
    <t>sale_end</t>
  </si>
  <si>
    <t>booking_id</t>
  </si>
  <si>
    <t>customer_email</t>
  </si>
  <si>
    <t>customer_name</t>
  </si>
  <si>
    <t>rating</t>
  </si>
  <si>
    <t>review_text</t>
  </si>
  <si>
    <t>CAR-20260115-A1B2C3</t>
  </si>
  <si>
    <t>Toyota Camry</t>
  </si>
  <si>
    <t>john.doe@email.com</t>
  </si>
  <si>
    <t>John Doe</t>
  </si>
  <si>
    <t>Solid choice for daily driving. Good fuel efficiency and comfortable interior. No complaints!</t>
  </si>
  <si>
    <t>Approved</t>
  </si>
  <si>
    <t>CAR-20260118-J1K2L3</t>
  </si>
  <si>
    <t>Toyota Vios</t>
  </si>
  <si>
    <t>ana.reyes@email.com</t>
  </si>
  <si>
    <t>Ana Reyes</t>
  </si>
  <si>
    <t>Great experience overall. The car handled well and was perfect for city driving. Only minor issue was the AC took a while to cool down.</t>
  </si>
  <si>
    <t>CAR-20260121-S1T2U3</t>
  </si>
  <si>
    <t>Honda Accord</t>
  </si>
  <si>
    <t>miguel.lopez@email.com</t>
  </si>
  <si>
    <t>Miguel Lopez</t>
  </si>
  <si>
    <t>Luxury at its finest. Comfortable seats, great sound system, and smooth ride. A bit pricey but worth it for special occasions.</t>
  </si>
  <si>
    <t>CAR-20260124-B1C2D3</t>
  </si>
  <si>
    <t>elena.rivera@email.com</t>
  </si>
  <si>
    <t>Elena Rivera</t>
  </si>
  <si>
    <t>Reliable and comfortable sedan. Great for family trips. Good fuel economy and plenty of trunk space.</t>
  </si>
  <si>
    <t>CAR-20260127-K1L2M3</t>
  </si>
  <si>
    <t>Ford Everest</t>
  </si>
  <si>
    <t>james.lee@email.com</t>
  </si>
  <si>
    <t>James Lee</t>
  </si>
  <si>
    <t>Excellent SUV! Perfect size for a small family. Great visibility and very comfortable on long drives.</t>
  </si>
  <si>
    <t>CAR-20251105-A1A1A1</t>
  </si>
  <si>
    <t>mark.johnson@email.com</t>
  </si>
  <si>
    <t>Mark Johnson</t>
  </si>
  <si>
    <t>CAR-20251112-B2B2B2</t>
  </si>
  <si>
    <t>Honda CR-V</t>
  </si>
  <si>
    <t>sarah.williams@email.com</t>
  </si>
  <si>
    <t>Sarah Williams</t>
  </si>
  <si>
    <t>Surprisingly great car! Modern features, smooth ride, and excellent customer service. Exceeded my expectations!</t>
  </si>
  <si>
    <t>CAR-20251118-C3C3C3</t>
  </si>
  <si>
    <t>kevin.brown@email.com</t>
  </si>
  <si>
    <t>Kevin Brown</t>
  </si>
  <si>
    <t>Excellent car! Very fuel efficient and comfortable for long drives. The pickup process was smooth and the car was in pristine condition.</t>
  </si>
  <si>
    <t>CAR-20251122-D4D4D4</t>
  </si>
  <si>
    <t>Toyota Hiace</t>
  </si>
  <si>
    <t>amanda.davis@email.com</t>
  </si>
  <si>
    <t>Amanda Davis</t>
  </si>
  <si>
    <t>CAR-20251126-E5E5E5</t>
  </si>
  <si>
    <t>BMW 5 Series</t>
  </si>
  <si>
    <t>ryan.miller@email.com</t>
  </si>
  <si>
    <t>Ryan Miller</t>
  </si>
  <si>
    <t>Amazing sports car! The power and handling are incredible. Perfect for a weekend getaway. Highly recommend!</t>
  </si>
  <si>
    <t>CAR-20251203-F6F6F6</t>
  </si>
  <si>
    <t>jessica.moore@email.com</t>
  </si>
  <si>
    <t>Jessica Moore</t>
  </si>
  <si>
    <t>Love the electric experience! Silent, smooth, and eco-friendly. The autopilot feature made highway driving a breeze.</t>
  </si>
  <si>
    <t>CAR-20251210-G7G7G7</t>
  </si>
  <si>
    <t>Mitsubishi Montero Sport</t>
  </si>
  <si>
    <t>brian.taylor@email.com</t>
  </si>
  <si>
    <t>Brian Taylor</t>
  </si>
  <si>
    <t>CAR-20251215-H8H8H8</t>
  </si>
  <si>
    <t>nicole.anderson@email.com</t>
  </si>
  <si>
    <t>Nicole Anderson</t>
  </si>
  <si>
    <t>Absolutely stunning car! The interior is luxurious and the drive is incredibly smooth. Staff was very professional.</t>
  </si>
  <si>
    <t>CAR-20251220-I9I9I9</t>
  </si>
  <si>
    <t>Nissan Urvan</t>
  </si>
  <si>
    <t>chris.thomas@email.com</t>
  </si>
  <si>
    <t>Christopher Thomas</t>
  </si>
  <si>
    <t>Perfect for off-road adventures! Took it to the mountains and it handled everything like a champ. Very spacious too.</t>
  </si>
  <si>
    <t>CAR-20251228-J1J1J1</t>
  </si>
  <si>
    <t>Mercedes-Benz E-Class</t>
  </si>
  <si>
    <t>michelle.jackson@email.com</t>
  </si>
  <si>
    <t>Michelle Jackson</t>
  </si>
  <si>
    <t>customer_phone</t>
  </si>
  <si>
    <t>customer_age</t>
  </si>
  <si>
    <t>dropoff_date</t>
  </si>
  <si>
    <t>pickup_time</t>
  </si>
  <si>
    <t>dropoff_time</t>
  </si>
  <si>
    <t>pickup_location</t>
  </si>
  <si>
    <t>dropoff_location</t>
  </si>
  <si>
    <t>car_type</t>
  </si>
  <si>
    <t>car_image</t>
  </si>
  <si>
    <t>rental_days</t>
  </si>
  <si>
    <t>subtotal</t>
  </si>
  <si>
    <t>insurance_fee</t>
  </si>
  <si>
    <t>additional_fees</t>
  </si>
  <si>
    <t>total_amount</t>
  </si>
  <si>
    <t>promo_code</t>
  </si>
  <si>
    <t>discount_amount</t>
  </si>
  <si>
    <t>agent_commission</t>
  </si>
  <si>
    <t>admin_notes</t>
  </si>
  <si>
    <t>payment_method</t>
  </si>
  <si>
    <t>payment_status</t>
  </si>
  <si>
    <t>license_number</t>
  </si>
  <si>
    <t>license_expiry</t>
  </si>
  <si>
    <t>actual_return_date</t>
  </si>
  <si>
    <t>payment_proof</t>
  </si>
  <si>
    <t>invoice_number</t>
  </si>
  <si>
    <t>receipt_file</t>
  </si>
  <si>
    <t>payment_verified_by</t>
  </si>
  <si>
    <t>payment_verified_at</t>
  </si>
  <si>
    <t>payment_type</t>
  </si>
  <si>
    <t>amount_paid</t>
  </si>
  <si>
    <t>remaining_balance</t>
  </si>
  <si>
    <t>refund_amount</t>
  </si>
  <si>
    <t>actual_rental_days</t>
  </si>
  <si>
    <t>pickup_status</t>
  </si>
  <si>
    <t>pickup_confirmed_at</t>
  </si>
  <si>
    <t>return_pickup_status</t>
  </si>
  <si>
    <t>return_pickup_confirmed_at</t>
  </si>
  <si>
    <t>+63 917 123 4567</t>
  </si>
  <si>
    <t>MNL - Manila Ninoy Aquino International Airport</t>
  </si>
  <si>
    <t>Sedan</t>
  </si>
  <si>
    <t>GCash</t>
  </si>
  <si>
    <t>Paid</t>
  </si>
  <si>
    <t>N01-23-456789</t>
  </si>
  <si>
    <t>INV-20260115-0001</t>
  </si>
  <si>
    <t>REC-20260115-0001</t>
  </si>
  <si>
    <t>Full Payment</t>
  </si>
  <si>
    <t>Pending</t>
  </si>
  <si>
    <t>CAR-20260116-D4E5F6</t>
  </si>
  <si>
    <t>+63 918 234 5678</t>
  </si>
  <si>
    <t>Makati City Center</t>
  </si>
  <si>
    <t>PayPal</t>
  </si>
  <si>
    <t>M02-34-567890</t>
  </si>
  <si>
    <t>INV-20260116-0002</t>
  </si>
  <si>
    <t>REC-20260116-0002</t>
  </si>
  <si>
    <t>Downpayment</t>
  </si>
  <si>
    <t>CAR-20260117-G7H8I9</t>
  </si>
  <si>
    <t>Pedro Cruz</t>
  </si>
  <si>
    <t>pedro.cruz@email.com</t>
  </si>
  <si>
    <t>+63 919 345 6789</t>
  </si>
  <si>
    <t>Bonifacio Global City (BGC)</t>
  </si>
  <si>
    <t>Cancelled</t>
  </si>
  <si>
    <t>Credit Card</t>
  </si>
  <si>
    <t>P03-45-678901</t>
  </si>
  <si>
    <t>INV-20260117-0003</t>
  </si>
  <si>
    <t>REC-20260117-0003</t>
  </si>
  <si>
    <t>+63 920 456 7890</t>
  </si>
  <si>
    <t>Quezon City - Cubao</t>
  </si>
  <si>
    <t>A04-56-789012</t>
  </si>
  <si>
    <t>INV-20260118-0004</t>
  </si>
  <si>
    <t>REC-20260118-0004</t>
  </si>
  <si>
    <t>CAR-20260119-M4N5O6</t>
  </si>
  <si>
    <t>Carlos Garcia</t>
  </si>
  <si>
    <t>carlos.garcia@email.com</t>
  </si>
  <si>
    <t>+63 921 567 8901</t>
  </si>
  <si>
    <t>Pasay City - Mall of Asia</t>
  </si>
  <si>
    <t>Van</t>
  </si>
  <si>
    <t>Debit Card</t>
  </si>
  <si>
    <t>C05-67-890123</t>
  </si>
  <si>
    <t>INV-20260119-0005</t>
  </si>
  <si>
    <t>REC-20260119-0005</t>
  </si>
  <si>
    <t>CAR-20260120-P7Q8R9</t>
  </si>
  <si>
    <t>Lisa Tan</t>
  </si>
  <si>
    <t>lisa.tan@email.com</t>
  </si>
  <si>
    <t>+63 922 678 9012</t>
  </si>
  <si>
    <t>CEB - Mactan-Cebu International Airport</t>
  </si>
  <si>
    <t>L06-78-901234</t>
  </si>
  <si>
    <t>INV-20260120-0006</t>
  </si>
  <si>
    <t>REC-20260120-0006</t>
  </si>
  <si>
    <t>+63 923 789 0123</t>
  </si>
  <si>
    <t>Mandaluyong City - Ortigas Center</t>
  </si>
  <si>
    <t>M07-89-012345</t>
  </si>
  <si>
    <t>INV-20260121-0007</t>
  </si>
  <si>
    <t>REC-20260121-0007</t>
  </si>
  <si>
    <t>CAR-20260122-V4W5X6</t>
  </si>
  <si>
    <t>Sofia Martinez</t>
  </si>
  <si>
    <t>sofia.martinez@email.com</t>
  </si>
  <si>
    <t>+63 924 890 1234</t>
  </si>
  <si>
    <t>MRT Ayala Station</t>
  </si>
  <si>
    <t>S08-90-123456</t>
  </si>
  <si>
    <t>INV-20260122-0008</t>
  </si>
  <si>
    <t>REC-20260122-0008</t>
  </si>
  <si>
    <t>CAR-20260123-Y7Z8A9</t>
  </si>
  <si>
    <t>David Wong</t>
  </si>
  <si>
    <t>david.wong@email.com</t>
  </si>
  <si>
    <t>+63 925 901 2345</t>
  </si>
  <si>
    <t>Any Hotel in Metro Manila (Hotel Delivery)</t>
  </si>
  <si>
    <t>D09-01-234567</t>
  </si>
  <si>
    <t>INV-20260123-0009</t>
  </si>
  <si>
    <t>REC-20260123-0009</t>
  </si>
  <si>
    <t>+63 926 012 3456</t>
  </si>
  <si>
    <t>CRK - Clark International Airport</t>
  </si>
  <si>
    <t>E10-12-345678</t>
  </si>
  <si>
    <t>INV-20260124-0010</t>
  </si>
  <si>
    <t>REC-20260124-0010</t>
  </si>
  <si>
    <t>CAR-20260125-E4F5G6</t>
  </si>
  <si>
    <t>Robert Kim</t>
  </si>
  <si>
    <t>robert.kim@email.com</t>
  </si>
  <si>
    <t>+63 927 123 4567</t>
  </si>
  <si>
    <t>Shangri-La Hotel</t>
  </si>
  <si>
    <t>R11-23-456789</t>
  </si>
  <si>
    <t>INV-20260125-0011</t>
  </si>
  <si>
    <t>REC-20260125-0011</t>
  </si>
  <si>
    <t>CAR-20260126-H7I8J9</t>
  </si>
  <si>
    <t>Carmen Flores</t>
  </si>
  <si>
    <t>carmen.flores@email.com</t>
  </si>
  <si>
    <t>+63 928 234 5678</t>
  </si>
  <si>
    <t>DVO - Francisco Bangoy International Airport</t>
  </si>
  <si>
    <t>Hyundai Elantra</t>
  </si>
  <si>
    <t>C12-34-567890</t>
  </si>
  <si>
    <t>INV-20260126-0012</t>
  </si>
  <si>
    <t>REC-20260126-0012</t>
  </si>
  <si>
    <t>+63 929 345 6789</t>
  </si>
  <si>
    <t>Okada Manila</t>
  </si>
  <si>
    <t>J13-45-678901</t>
  </si>
  <si>
    <t>INV-20260127-0013</t>
  </si>
  <si>
    <t>REC-20260127-0013</t>
  </si>
  <si>
    <t>CAR-20260128-N4O5P6</t>
  </si>
  <si>
    <t>Isabel Ramos</t>
  </si>
  <si>
    <t>isabel.ramos@email.com</t>
  </si>
  <si>
    <t>+63 930 456 7890</t>
  </si>
  <si>
    <t>Solaire Resort &amp; Casino</t>
  </si>
  <si>
    <t>Nissan Leaf</t>
  </si>
  <si>
    <t>I14-56-789012</t>
  </si>
  <si>
    <t>INV-20260128-0014</t>
  </si>
  <si>
    <t>REC-20260128-0014</t>
  </si>
  <si>
    <t>CAR-20260129-Q7R8S9</t>
  </si>
  <si>
    <t>Daniel Chen</t>
  </si>
  <si>
    <t>daniel.chen@email.com</t>
  </si>
  <si>
    <t>+63 931 567 8901</t>
  </si>
  <si>
    <t>LRT Buendia Station</t>
  </si>
  <si>
    <t>Audi A6</t>
  </si>
  <si>
    <t>D15-67-890123</t>
  </si>
  <si>
    <t>INV-20260129-0015</t>
  </si>
  <si>
    <t>REC-20260129-0015</t>
  </si>
  <si>
    <t>+63 932 111 2222</t>
  </si>
  <si>
    <t>M16-11-111111</t>
  </si>
  <si>
    <t>INV-20251105-0016</t>
  </si>
  <si>
    <t>REC-20251105-0016</t>
  </si>
  <si>
    <t>+63 933 222 3333</t>
  </si>
  <si>
    <t>S17-22-222222</t>
  </si>
  <si>
    <t>INV-20251112-0017</t>
  </si>
  <si>
    <t>REC-20251112-0017</t>
  </si>
  <si>
    <t>+63 934 333 4444</t>
  </si>
  <si>
    <t>K18-33-333333</t>
  </si>
  <si>
    <t>INV-20251118-0018</t>
  </si>
  <si>
    <t>REC-20251118-0018</t>
  </si>
  <si>
    <t>+63 935 444 5555</t>
  </si>
  <si>
    <t>A19-44-444444</t>
  </si>
  <si>
    <t>INV-20251122-0019</t>
  </si>
  <si>
    <t>REC-20251122-0019</t>
  </si>
  <si>
    <t>+63 936 555 6666</t>
  </si>
  <si>
    <t>R20-55-555555</t>
  </si>
  <si>
    <t>INV-20251126-0020</t>
  </si>
  <si>
    <t>REC-20251126-0020</t>
  </si>
  <si>
    <t>+63 937 666 7777</t>
  </si>
  <si>
    <t>J21-66-666666</t>
  </si>
  <si>
    <t>INV-20251203-0021</t>
  </si>
  <si>
    <t>REC-20251203-0021</t>
  </si>
  <si>
    <t>+63 938 777 8888</t>
  </si>
  <si>
    <t>B22-77-777777</t>
  </si>
  <si>
    <t>INV-20251210-0022</t>
  </si>
  <si>
    <t>REC-20251210-0022</t>
  </si>
  <si>
    <t>+63 939 888 9999</t>
  </si>
  <si>
    <t>N23-88-888888</t>
  </si>
  <si>
    <t>INV-20251215-0023</t>
  </si>
  <si>
    <t>REC-20251215-0023</t>
  </si>
  <si>
    <t>+63 940 999 0000</t>
  </si>
  <si>
    <t>C24-99-999999</t>
  </si>
  <si>
    <t>INV-20251220-0024</t>
  </si>
  <si>
    <t>REC-20251220-0024</t>
  </si>
  <si>
    <t>+63 941 000 1111</t>
  </si>
  <si>
    <t>M25-00-000000</t>
  </si>
  <si>
    <t>INV-20251228-0025</t>
  </si>
  <si>
    <t>REC-20251228-0025</t>
  </si>
  <si>
    <t>CAR-20260105-K2K2K2</t>
  </si>
  <si>
    <t>Steven White</t>
  </si>
  <si>
    <t>steven.white@email.com</t>
  </si>
  <si>
    <t>+63 942 111 2222</t>
  </si>
  <si>
    <t>S26-11-111112</t>
  </si>
  <si>
    <t>INV-20260105-0026</t>
  </si>
  <si>
    <t>REC-20260105-0026</t>
  </si>
  <si>
    <t>CAR-20260108-L3L3L3</t>
  </si>
  <si>
    <t>Rachel Harris</t>
  </si>
  <si>
    <t>rachel.harris@email.com</t>
  </si>
  <si>
    <t>+63 943 222 3333</t>
  </si>
  <si>
    <t>R27-22-222223</t>
  </si>
  <si>
    <t>INV-20260108-0027</t>
  </si>
  <si>
    <t>REC-20260108-0027</t>
  </si>
  <si>
    <t>CAR-20260110-M4M4M4</t>
  </si>
  <si>
    <t>Andrew Martin</t>
  </si>
  <si>
    <t>andrew.martin@email.com</t>
  </si>
  <si>
    <t>+63 944 333 4444</t>
  </si>
  <si>
    <t>A28-33-333334</t>
  </si>
  <si>
    <t>INV-20260110-0028</t>
  </si>
  <si>
    <t>REC-20260110-0028</t>
  </si>
  <si>
    <t>CAR-20260112-N5N5N5</t>
  </si>
  <si>
    <t>Laura Thompson</t>
  </si>
  <si>
    <t>laura.thompson@email.com</t>
  </si>
  <si>
    <t>+63 945 444 5555</t>
  </si>
  <si>
    <t>L29-44-444445</t>
  </si>
  <si>
    <t>INV-20260112-0029</t>
  </si>
  <si>
    <t>REC-20260112-0029</t>
  </si>
  <si>
    <t>CAR-20260114-O6O6O6</t>
  </si>
  <si>
    <t>Patrick Garcia</t>
  </si>
  <si>
    <t>patrick.garcia@email.com</t>
  </si>
  <si>
    <t>+63 946 555 6666</t>
  </si>
  <si>
    <t>P30-55-555556</t>
  </si>
  <si>
    <t>INV-20260114-0030</t>
  </si>
  <si>
    <t>REC-20260114-0030</t>
  </si>
  <si>
    <t>CAR-20260305-P7P7P7</t>
  </si>
  <si>
    <t>Jennifer Martinez</t>
  </si>
  <si>
    <t>jennifer.martinez@email.com</t>
  </si>
  <si>
    <t>+63 947 666 7777</t>
  </si>
  <si>
    <t>J31-66-666667</t>
  </si>
  <si>
    <t>INV-20260305-0031</t>
  </si>
  <si>
    <t>REC-20260305-0031</t>
  </si>
  <si>
    <t>CAR-20260310-Q8Q8Q8</t>
  </si>
  <si>
    <t>Timothy Robinson</t>
  </si>
  <si>
    <t>timothy.robinson@email.com</t>
  </si>
  <si>
    <t>+63 948 777 8888</t>
  </si>
  <si>
    <t>T32-77-777778</t>
  </si>
  <si>
    <t>INV-20260310-0032</t>
  </si>
  <si>
    <t>REC-20260310-0032</t>
  </si>
  <si>
    <t>CAR-20260315-R9R9R9</t>
  </si>
  <si>
    <t>Samantha Clark</t>
  </si>
  <si>
    <t>samantha.clark@email.com</t>
  </si>
  <si>
    <t>+63 949 888 9999</t>
  </si>
  <si>
    <t>S33-88-888889</t>
  </si>
  <si>
    <t>INV-20260315-0033</t>
  </si>
  <si>
    <t>REC-20260315-0033</t>
  </si>
  <si>
    <t>CAR-20260320-S1S1S1</t>
  </si>
  <si>
    <t>Gregory Lewis</t>
  </si>
  <si>
    <t>gregory.lewis@email.com</t>
  </si>
  <si>
    <t>+63 950 999 0000</t>
  </si>
  <si>
    <t>G34-99-999990</t>
  </si>
  <si>
    <t>INV-20260320-0034</t>
  </si>
  <si>
    <t>REC-20260320-0034</t>
  </si>
  <si>
    <t>CAR-20260325-T2T2T2</t>
  </si>
  <si>
    <t>Kimberly Walker</t>
  </si>
  <si>
    <t>kimberly.walker@email.com</t>
  </si>
  <si>
    <t>+63 951 000 1111</t>
  </si>
  <si>
    <t>K35-00-000001</t>
  </si>
  <si>
    <t>INV-20260325-0035</t>
  </si>
  <si>
    <t>REC-20260325-0035</t>
  </si>
  <si>
    <t>CAR-20260217-AC3C8C</t>
  </si>
  <si>
    <t>test2</t>
  </si>
  <si>
    <t>09546131252</t>
  </si>
  <si>
    <t>MRT Taft Station</t>
  </si>
  <si>
    <t>PITX - Parañaque Integrated Terminal Exchange</t>
  </si>
  <si>
    <t>http://localhost/NiceAdmin/assets/img/cars/honda-civic.jpg</t>
  </si>
  <si>
    <t>A01-30-620434</t>
  </si>
  <si>
    <t>uploads/payments/payment_138_1771312346.png</t>
  </si>
  <si>
    <t>INV-20260217-0138</t>
  </si>
  <si>
    <t>CAR-20260217-FCA551</t>
  </si>
  <si>
    <t>Paolo@gmail.com</t>
  </si>
  <si>
    <t>P01-23-233432</t>
  </si>
  <si>
    <t>uploads/payments/payment_139_1771313240.png</t>
  </si>
  <si>
    <t>INV-20260217-0139</t>
  </si>
  <si>
    <t>CAR-20260217-88F8D0</t>
  </si>
  <si>
    <t>p</t>
  </si>
  <si>
    <t>A01-20-201303</t>
  </si>
  <si>
    <t>uploads/payments/payment_140_1771314757.png</t>
  </si>
  <si>
    <t>INV-20260217-0140</t>
  </si>
  <si>
    <t>Picked Up</t>
  </si>
  <si>
    <t>Ready</t>
  </si>
  <si>
    <t>BK-JDC-001</t>
  </si>
  <si>
    <t>Manila Office</t>
  </si>
  <si>
    <t>Toyota Corolla</t>
  </si>
  <si>
    <t>uploads/cars/corolla.jpg</t>
  </si>
  <si>
    <t>BK-JDC-002</t>
  </si>
  <si>
    <t>Quezon City Branch</t>
  </si>
  <si>
    <t>uploads/cars/civic.jpg</t>
  </si>
  <si>
    <t>BK-JDC-003</t>
  </si>
  <si>
    <t>Makati Branch</t>
  </si>
  <si>
    <t>Mazda CX-5</t>
  </si>
  <si>
    <t>uploads/cars/cx5.jpg</t>
  </si>
  <si>
    <t>BK-JDC-004</t>
  </si>
  <si>
    <t>uploads/cars/camry.jpg</t>
  </si>
  <si>
    <t>BK-JDC-005</t>
  </si>
  <si>
    <t>Pasig Branch</t>
  </si>
  <si>
    <t>Nissan Altima</t>
  </si>
  <si>
    <t>uploads/cars/altima.jpg</t>
  </si>
  <si>
    <t>BK-MS-001</t>
  </si>
  <si>
    <t>uploads/cars/elantra.jpg</t>
  </si>
  <si>
    <t>BK-MS-002</t>
  </si>
  <si>
    <t>Sports</t>
  </si>
  <si>
    <t>Ford Mustang</t>
  </si>
  <si>
    <t>uploads/cars/mustang.jpg</t>
  </si>
  <si>
    <t>BK-MS-003</t>
  </si>
  <si>
    <t>BMW 3 Series</t>
  </si>
  <si>
    <t>uploads/cars/bmw3.jpg</t>
  </si>
  <si>
    <t>BK-MS-004</t>
  </si>
  <si>
    <t>Chevrolet Malibu</t>
  </si>
  <si>
    <t>uploads/cars/malibu.jpg</t>
  </si>
  <si>
    <t>BK-MS-005</t>
  </si>
  <si>
    <t>Taguig Branch</t>
  </si>
  <si>
    <t>Volkswagen Jetta</t>
  </si>
  <si>
    <t>uploads/cars/jetta.jpg</t>
  </si>
  <si>
    <t>BK-PR-001</t>
  </si>
  <si>
    <t>Jeep Wrangler</t>
  </si>
  <si>
    <t>uploads/cars/wrangler.jpg</t>
  </si>
  <si>
    <t>BK-PR-002</t>
  </si>
  <si>
    <t>Tesla Model 3</t>
  </si>
  <si>
    <t>uploads/cars/tesla3.jpg</t>
  </si>
  <si>
    <t>BK-PR-003</t>
  </si>
  <si>
    <t>Mercedes-Benz C-Class</t>
  </si>
  <si>
    <t>uploads/cars/mercedesc.jpg</t>
  </si>
  <si>
    <t>BK-PR-004</t>
  </si>
  <si>
    <t>Audi A4</t>
  </si>
  <si>
    <t>uploads/cars/audia4.jpg</t>
  </si>
  <si>
    <t>BK-PR-005</t>
  </si>
  <si>
    <t>Kia Optima</t>
  </si>
  <si>
    <t>uploads/cars/optima.jpg</t>
  </si>
  <si>
    <t>BK-AG-001</t>
  </si>
  <si>
    <t>BK-AG-002</t>
  </si>
  <si>
    <t>BK-AG-003</t>
  </si>
  <si>
    <t>BK-AG-004</t>
  </si>
  <si>
    <t>BK-AG-005</t>
  </si>
  <si>
    <t>BK-RC-001</t>
  </si>
  <si>
    <t>BK-RC-002</t>
  </si>
  <si>
    <t>BK-RC-003</t>
  </si>
  <si>
    <t>BK-RC-004</t>
  </si>
  <si>
    <t>BK-RC-005</t>
  </si>
  <si>
    <t>Row Labels</t>
  </si>
  <si>
    <t>Grand Total</t>
  </si>
  <si>
    <t>Count of booking_id</t>
  </si>
  <si>
    <t>Column Labels</t>
  </si>
  <si>
    <t>Sum of total_amount</t>
  </si>
  <si>
    <t>Sum of rental_days</t>
  </si>
  <si>
    <t>total</t>
  </si>
  <si>
    <t xml:space="preserve">vs </t>
  </si>
  <si>
    <t>Total Revenue</t>
  </si>
  <si>
    <t>Sum of rating</t>
  </si>
  <si>
    <t>Pick up location</t>
  </si>
  <si>
    <t>vs</t>
  </si>
  <si>
    <t>DropOff location</t>
  </si>
  <si>
    <t>Month</t>
  </si>
  <si>
    <t>Date</t>
  </si>
  <si>
    <t>Year</t>
  </si>
  <si>
    <t>date</t>
  </si>
  <si>
    <t>active</t>
  </si>
  <si>
    <t>r</t>
  </si>
  <si>
    <t>Status Of Each Car Type</t>
  </si>
  <si>
    <t>Top ratings</t>
  </si>
  <si>
    <t>Customers</t>
  </si>
  <si>
    <t>On sale Cars</t>
  </si>
  <si>
    <t>Top pickup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</si>
</sst>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6"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12"/>
      <name val="Calibri"/>
      <family val="2"/>
      <scheme val="minor"/>
    </font>
    <font>
      <b/>
      <sz val="14"/>
      <color theme="5"/>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9"/>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NumberFormat="1"/>
    <xf numFmtId="14" fontId="0" fillId="0" borderId="0" xfId="0" applyNumberFormat="1"/>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1" fillId="2" borderId="2" xfId="0" applyFont="1" applyFill="1" applyBorder="1"/>
    <xf numFmtId="0" fontId="0" fillId="0" borderId="2" xfId="0" applyBorder="1"/>
    <xf numFmtId="0" fontId="0" fillId="3" borderId="0" xfId="0" applyFill="1"/>
    <xf numFmtId="0" fontId="0" fillId="4" borderId="0" xfId="0" applyFill="1"/>
    <xf numFmtId="0" fontId="1" fillId="0" borderId="0" xfId="0" applyFont="1" applyAlignment="1">
      <alignment horizontal="left"/>
    </xf>
    <xf numFmtId="0" fontId="1" fillId="0" borderId="0" xfId="0" applyNumberFormat="1" applyFont="1"/>
    <xf numFmtId="0" fontId="1" fillId="0" borderId="0" xfId="0" applyFont="1"/>
    <xf numFmtId="0" fontId="3" fillId="0" borderId="0" xfId="0" applyFont="1" applyAlignment="1">
      <alignment horizontal="left"/>
    </xf>
    <xf numFmtId="0" fontId="3" fillId="0" borderId="0" xfId="0" applyNumberFormat="1" applyFont="1"/>
    <xf numFmtId="0" fontId="3" fillId="0" borderId="0" xfId="0" applyFont="1"/>
    <xf numFmtId="0" fontId="4" fillId="5" borderId="0" xfId="0" applyNumberFormat="1" applyFont="1" applyFill="1"/>
    <xf numFmtId="0" fontId="4" fillId="6" borderId="0" xfId="0" applyNumberFormat="1" applyFont="1" applyFill="1"/>
    <xf numFmtId="0" fontId="3" fillId="6" borderId="0" xfId="0" applyNumberFormat="1" applyFont="1" applyFill="1"/>
    <xf numFmtId="0" fontId="3" fillId="0" borderId="0" xfId="0" applyFont="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5" fillId="0" borderId="0" xfId="0" pivotButton="1" applyFont="1"/>
    <xf numFmtId="0" fontId="5" fillId="0" borderId="0" xfId="0" applyFont="1"/>
  </cellXfs>
  <cellStyles count="1">
    <cellStyle name="Normal" xfId="0" builtinId="0"/>
  </cellStyles>
  <dxfs count="439">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color auto="1"/>
      </font>
    </dxf>
    <dxf>
      <font>
        <color rgb="FFFF0000"/>
      </font>
    </dxf>
    <dxf>
      <fill>
        <patternFill patternType="solid">
          <bgColor rgb="FFFF0000"/>
        </patternFill>
      </fill>
    </dxf>
    <dxf>
      <font>
        <color auto="1"/>
      </font>
    </dxf>
    <dxf>
      <fill>
        <patternFill patternType="solid">
          <bgColor theme="9"/>
        </patternFill>
      </fill>
    </dxf>
    <dxf>
      <fill>
        <patternFill patternType="solid">
          <bgColor rgb="FFFF0000"/>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color auto="1"/>
      </font>
    </dxf>
    <dxf>
      <font>
        <color rgb="FFFF0000"/>
      </font>
    </dxf>
    <dxf>
      <fill>
        <patternFill patternType="solid">
          <bgColor rgb="FFFF0000"/>
        </patternFill>
      </fill>
    </dxf>
    <dxf>
      <font>
        <color auto="1"/>
      </font>
    </dxf>
    <dxf>
      <fill>
        <patternFill patternType="solid">
          <bgColor theme="9"/>
        </patternFill>
      </fill>
    </dxf>
    <dxf>
      <fill>
        <patternFill patternType="solid">
          <bgColor rgb="FFFF0000"/>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color auto="1"/>
      </font>
    </dxf>
    <dxf>
      <font>
        <color rgb="FFFF0000"/>
      </font>
    </dxf>
    <dxf>
      <fill>
        <patternFill patternType="solid">
          <bgColor rgb="FFFF0000"/>
        </patternFill>
      </fill>
    </dxf>
    <dxf>
      <font>
        <color auto="1"/>
      </font>
    </dxf>
    <dxf>
      <fill>
        <patternFill patternType="solid">
          <bgColor theme="9"/>
        </patternFill>
      </fill>
    </dxf>
    <dxf>
      <fill>
        <patternFill patternType="solid">
          <bgColor rgb="FFFF0000"/>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color auto="1"/>
      </font>
    </dxf>
    <dxf>
      <font>
        <color rgb="FFFF0000"/>
      </font>
    </dxf>
    <dxf>
      <fill>
        <patternFill patternType="solid">
          <bgColor rgb="FFFF0000"/>
        </patternFill>
      </fill>
    </dxf>
    <dxf>
      <font>
        <color auto="1"/>
      </font>
    </dxf>
    <dxf>
      <fill>
        <patternFill patternType="solid">
          <bgColor theme="9"/>
        </patternFill>
      </fill>
    </dxf>
    <dxf>
      <fill>
        <patternFill patternType="solid">
          <bgColor rgb="FFFF0000"/>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font>
        <sz val="14"/>
      </font>
    </dxf>
    <dxf>
      <font>
        <color theme="5"/>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color auto="1"/>
      </font>
    </dxf>
    <dxf>
      <font>
        <color rgb="FFFF0000"/>
      </font>
    </dxf>
    <dxf>
      <fill>
        <patternFill patternType="solid">
          <bgColor rgb="FFFF0000"/>
        </patternFill>
      </fill>
    </dxf>
    <dxf>
      <font>
        <color auto="1"/>
      </font>
    </dxf>
    <dxf>
      <fill>
        <patternFill patternType="solid">
          <bgColor theme="9"/>
        </patternFill>
      </fill>
    </dxf>
    <dxf>
      <fill>
        <patternFill patternType="solid">
          <bgColor rgb="FFFF0000"/>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color auto="1"/>
      </font>
    </dxf>
    <dxf>
      <font>
        <color rgb="FFFF0000"/>
      </font>
    </dxf>
    <dxf>
      <fill>
        <patternFill patternType="solid">
          <bgColor rgb="FFFF0000"/>
        </patternFill>
      </fill>
    </dxf>
    <dxf>
      <font>
        <color auto="1"/>
      </font>
    </dxf>
    <dxf>
      <fill>
        <patternFill patternType="solid">
          <bgColor theme="9"/>
        </patternFill>
      </fill>
    </dxf>
    <dxf>
      <fill>
        <patternFill patternType="solid">
          <bgColor rgb="FFFF0000"/>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font>
        <sz val="14"/>
      </font>
    </dxf>
    <dxf>
      <font>
        <color theme="5"/>
      </font>
    </dxf>
    <dxf>
      <font>
        <b/>
      </font>
    </dxf>
    <dxf>
      <font>
        <b/>
      </font>
    </dxf>
    <dxf>
      <font>
        <b/>
      </font>
    </dxf>
    <dxf>
      <font>
        <b/>
      </font>
    </dxf>
    <dxf>
      <font>
        <b/>
      </font>
    </dxf>
    <dxf>
      <font>
        <b/>
      </font>
    </dxf>
    <dxf>
      <font>
        <b/>
      </font>
    </dxf>
    <dxf>
      <font>
        <b/>
      </font>
    </dxf>
    <dxf>
      <font>
        <sz val="14"/>
      </font>
    </dxf>
    <dxf>
      <font>
        <color theme="5"/>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sz val="14"/>
      </font>
    </dxf>
    <dxf>
      <font>
        <color theme="5"/>
      </font>
    </dxf>
    <dxf>
      <font>
        <color theme="5"/>
      </font>
    </dxf>
    <dxf>
      <font>
        <color theme="5"/>
      </font>
    </dxf>
    <dxf>
      <font>
        <color theme="5"/>
      </font>
    </dxf>
    <dxf>
      <font>
        <color theme="5"/>
      </font>
    </dxf>
    <dxf>
      <font>
        <color theme="5"/>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font>
        <b/>
      </font>
    </dxf>
    <dxf>
      <font>
        <b/>
      </font>
    </dxf>
    <dxf>
      <font>
        <b/>
      </font>
    </dxf>
    <dxf>
      <font>
        <b/>
      </font>
    </dxf>
    <dxf>
      <font>
        <b/>
      </font>
    </dxf>
    <dxf>
      <font>
        <sz val="12"/>
      </font>
    </dxf>
    <dxf>
      <font>
        <sz val="12"/>
      </font>
    </dxf>
    <dxf>
      <font>
        <sz val="12"/>
      </font>
    </dxf>
    <dxf>
      <font>
        <sz val="12"/>
      </font>
    </dxf>
    <dxf>
      <fill>
        <patternFill patternType="solid">
          <bgColor theme="9"/>
        </patternFill>
      </fill>
    </dxf>
    <dxf>
      <fill>
        <patternFill patternType="solid">
          <bgColor theme="9"/>
        </patternFill>
      </fill>
    </dxf>
    <dxf>
      <fill>
        <patternFill patternType="solid">
          <bgColor theme="9"/>
        </patternFill>
      </fill>
    </dxf>
    <dxf>
      <fill>
        <patternFill patternType="solid">
          <bgColor rgb="FFFF0000"/>
        </patternFill>
      </fill>
    </dxf>
    <dxf>
      <fill>
        <patternFill patternType="solid">
          <bgColor theme="9"/>
        </patternFill>
      </fill>
    </dxf>
    <dxf>
      <font>
        <color auto="1"/>
      </font>
    </dxf>
    <dxf>
      <fill>
        <patternFill patternType="solid">
          <bgColor rgb="FFFF0000"/>
        </patternFill>
      </fill>
    </dxf>
    <dxf>
      <font>
        <color rgb="FFFF0000"/>
      </font>
    </dxf>
    <dxf>
      <font>
        <color auto="1"/>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numFmt numFmtId="27" formatCode="m/d/yyyy\ h:mm"/>
    </dxf>
    <dxf>
      <numFmt numFmtId="0" formatCode="General"/>
    </dxf>
    <dxf>
      <numFmt numFmtId="27" formatCode="m/d/yyyy\ h:mm"/>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19" formatCode="m/d/yyyy"/>
    </dxf>
    <dxf>
      <numFmt numFmtId="19" formatCode="m/d/yyyy"/>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Pivots!$N$30:$P$30</c:f>
              <c:strCache>
                <c:ptCount val="3"/>
                <c:pt idx="0">
                  <c:v>Cancelled</c:v>
                </c:pt>
                <c:pt idx="1">
                  <c:v>vs </c:v>
                </c:pt>
                <c:pt idx="2">
                  <c:v>Completed</c:v>
                </c:pt>
              </c:strCache>
            </c:strRef>
          </c:cat>
          <c:val>
            <c:numRef>
              <c:f>Pivots!$N$31:$P$31</c:f>
              <c:numCache>
                <c:formatCode>General</c:formatCode>
                <c:ptCount val="3"/>
                <c:pt idx="0">
                  <c:v>10</c:v>
                </c:pt>
                <c:pt idx="2">
                  <c:v>48</c:v>
                </c:pt>
              </c:numCache>
            </c:numRef>
          </c:val>
          <c:extLst>
            <c:ext xmlns:c16="http://schemas.microsoft.com/office/drawing/2014/chart" uri="{C3380CC4-5D6E-409C-BE32-E72D297353CC}">
              <c16:uniqueId val="{00000000-FDC3-4B4F-B8F1-0EBDC884410A}"/>
            </c:ext>
          </c:extLst>
        </c:ser>
        <c:dLbls>
          <c:showLegendKey val="0"/>
          <c:showVal val="0"/>
          <c:showCatName val="0"/>
          <c:showSerName val="0"/>
          <c:showPercent val="0"/>
          <c:showBubbleSize val="0"/>
        </c:dLbls>
        <c:gapWidth val="150"/>
        <c:shape val="box"/>
        <c:axId val="2125640223"/>
        <c:axId val="2125633023"/>
        <c:axId val="0"/>
      </c:bar3DChart>
      <c:catAx>
        <c:axId val="2125640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33023"/>
        <c:crosses val="autoZero"/>
        <c:auto val="1"/>
        <c:lblAlgn val="ctr"/>
        <c:lblOffset val="100"/>
        <c:noMultiLvlLbl val="0"/>
      </c:catAx>
      <c:valAx>
        <c:axId val="212563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54349386102018E-2"/>
          <c:y val="9.0998666150337762E-2"/>
          <c:w val="0.90286351706036749"/>
          <c:h val="0.8416746864975212"/>
        </c:manualLayout>
      </c:layout>
      <c:bar3DChart>
        <c:barDir val="col"/>
        <c:grouping val="clustered"/>
        <c:varyColors val="0"/>
        <c:ser>
          <c:idx val="0"/>
          <c:order val="0"/>
          <c:spPr>
            <a:solidFill>
              <a:schemeClr val="accent1"/>
            </a:solidFill>
            <a:ln>
              <a:noFill/>
            </a:ln>
            <a:effectLst/>
            <a:sp3d/>
          </c:spPr>
          <c:invertIfNegative val="0"/>
          <c:cat>
            <c:strRef>
              <c:f>Pivots!$L$53:$R$53</c:f>
              <c:strCache>
                <c:ptCount val="7"/>
                <c:pt idx="0">
                  <c:v>Compact</c:v>
                </c:pt>
                <c:pt idx="1">
                  <c:v>Electric</c:v>
                </c:pt>
                <c:pt idx="2">
                  <c:v>Luxury</c:v>
                </c:pt>
                <c:pt idx="3">
                  <c:v>Sedan</c:v>
                </c:pt>
                <c:pt idx="4">
                  <c:v>Sports</c:v>
                </c:pt>
                <c:pt idx="5">
                  <c:v>SUV</c:v>
                </c:pt>
                <c:pt idx="6">
                  <c:v>Van</c:v>
                </c:pt>
              </c:strCache>
            </c:strRef>
          </c:cat>
          <c:val>
            <c:numRef>
              <c:f>Pivots!$L$54:$R$54</c:f>
              <c:numCache>
                <c:formatCode>General</c:formatCode>
                <c:ptCount val="7"/>
                <c:pt idx="0">
                  <c:v>7</c:v>
                </c:pt>
                <c:pt idx="1">
                  <c:v>6</c:v>
                </c:pt>
                <c:pt idx="2">
                  <c:v>11</c:v>
                </c:pt>
                <c:pt idx="3">
                  <c:v>22</c:v>
                </c:pt>
                <c:pt idx="4">
                  <c:v>1</c:v>
                </c:pt>
                <c:pt idx="5">
                  <c:v>11</c:v>
                </c:pt>
                <c:pt idx="6">
                  <c:v>5</c:v>
                </c:pt>
              </c:numCache>
            </c:numRef>
          </c:val>
          <c:extLst>
            <c:ext xmlns:c16="http://schemas.microsoft.com/office/drawing/2014/chart" uri="{C3380CC4-5D6E-409C-BE32-E72D297353CC}">
              <c16:uniqueId val="{00000000-07F3-4649-A3CA-2D030BB44DD5}"/>
            </c:ext>
          </c:extLst>
        </c:ser>
        <c:dLbls>
          <c:showLegendKey val="0"/>
          <c:showVal val="0"/>
          <c:showCatName val="0"/>
          <c:showSerName val="0"/>
          <c:showPercent val="0"/>
          <c:showBubbleSize val="0"/>
        </c:dLbls>
        <c:gapWidth val="219"/>
        <c:shape val="box"/>
        <c:axId val="1532283951"/>
        <c:axId val="1532275311"/>
        <c:axId val="0"/>
      </c:bar3DChart>
      <c:catAx>
        <c:axId val="153228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75311"/>
        <c:crosses val="autoZero"/>
        <c:auto val="1"/>
        <c:lblAlgn val="ctr"/>
        <c:lblOffset val="100"/>
        <c:noMultiLvlLbl val="0"/>
      </c:catAx>
      <c:valAx>
        <c:axId val="153227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8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[ODBC.xlsx]Pivots!PivotTable19</c:name>
    <c:fmtId val="5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Pivots!$Y$19:$Y$20</c:f>
              <c:strCache>
                <c:ptCount val="1"/>
                <c:pt idx="0">
                  <c:v>Compact</c:v>
                </c:pt>
              </c:strCache>
            </c:strRef>
          </c:tx>
          <c:spPr>
            <a:solidFill>
              <a:schemeClr val="accent1"/>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Pivots!$Y$21:$Y$63</c:f>
              <c:numCache>
                <c:formatCode>General</c:formatCode>
                <c:ptCount val="42"/>
                <c:pt idx="2">
                  <c:v>1</c:v>
                </c:pt>
                <c:pt idx="4">
                  <c:v>1</c:v>
                </c:pt>
                <c:pt idx="5">
                  <c:v>1</c:v>
                </c:pt>
                <c:pt idx="8">
                  <c:v>1</c:v>
                </c:pt>
                <c:pt idx="13">
                  <c:v>1</c:v>
                </c:pt>
                <c:pt idx="20">
                  <c:v>1</c:v>
                </c:pt>
                <c:pt idx="22">
                  <c:v>1</c:v>
                </c:pt>
              </c:numCache>
            </c:numRef>
          </c:val>
          <c:extLst>
            <c:ext xmlns:c16="http://schemas.microsoft.com/office/drawing/2014/chart" uri="{C3380CC4-5D6E-409C-BE32-E72D297353CC}">
              <c16:uniqueId val="{00000000-9BF1-4B9B-B5E8-ED5C40AF2179}"/>
            </c:ext>
          </c:extLst>
        </c:ser>
        <c:ser>
          <c:idx val="1"/>
          <c:order val="1"/>
          <c:tx>
            <c:strRef>
              <c:f>Pivots!$Z$19:$Z$20</c:f>
              <c:strCache>
                <c:ptCount val="1"/>
                <c:pt idx="0">
                  <c:v>Electric</c:v>
                </c:pt>
              </c:strCache>
            </c:strRef>
          </c:tx>
          <c:spPr>
            <a:solidFill>
              <a:schemeClr val="accent2"/>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Pivots!$Z$21:$Z$63</c:f>
              <c:numCache>
                <c:formatCode>General</c:formatCode>
                <c:ptCount val="42"/>
                <c:pt idx="0">
                  <c:v>1</c:v>
                </c:pt>
                <c:pt idx="1">
                  <c:v>1</c:v>
                </c:pt>
                <c:pt idx="11">
                  <c:v>1</c:v>
                </c:pt>
                <c:pt idx="16">
                  <c:v>1</c:v>
                </c:pt>
                <c:pt idx="28">
                  <c:v>1</c:v>
                </c:pt>
                <c:pt idx="33">
                  <c:v>1</c:v>
                </c:pt>
              </c:numCache>
            </c:numRef>
          </c:val>
          <c:extLst>
            <c:ext xmlns:c16="http://schemas.microsoft.com/office/drawing/2014/chart" uri="{C3380CC4-5D6E-409C-BE32-E72D297353CC}">
              <c16:uniqueId val="{0000001E-9BF1-4B9B-B5E8-ED5C40AF2179}"/>
            </c:ext>
          </c:extLst>
        </c:ser>
        <c:ser>
          <c:idx val="2"/>
          <c:order val="2"/>
          <c:tx>
            <c:strRef>
              <c:f>Pivots!$AA$19:$AA$20</c:f>
              <c:strCache>
                <c:ptCount val="1"/>
                <c:pt idx="0">
                  <c:v>Luxury</c:v>
                </c:pt>
              </c:strCache>
            </c:strRef>
          </c:tx>
          <c:spPr>
            <a:solidFill>
              <a:schemeClr val="accent3"/>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Pivots!$AA$21:$AA$63</c:f>
              <c:numCache>
                <c:formatCode>General</c:formatCode>
                <c:ptCount val="42"/>
                <c:pt idx="9">
                  <c:v>1</c:v>
                </c:pt>
                <c:pt idx="10">
                  <c:v>1</c:v>
                </c:pt>
                <c:pt idx="12">
                  <c:v>1</c:v>
                </c:pt>
                <c:pt idx="15">
                  <c:v>1</c:v>
                </c:pt>
                <c:pt idx="17">
                  <c:v>1</c:v>
                </c:pt>
                <c:pt idx="23">
                  <c:v>1</c:v>
                </c:pt>
                <c:pt idx="24">
                  <c:v>1</c:v>
                </c:pt>
                <c:pt idx="33">
                  <c:v>2</c:v>
                </c:pt>
                <c:pt idx="38">
                  <c:v>1</c:v>
                </c:pt>
                <c:pt idx="39">
                  <c:v>1</c:v>
                </c:pt>
              </c:numCache>
            </c:numRef>
          </c:val>
          <c:extLst>
            <c:ext xmlns:c16="http://schemas.microsoft.com/office/drawing/2014/chart" uri="{C3380CC4-5D6E-409C-BE32-E72D297353CC}">
              <c16:uniqueId val="{0000001F-9BF1-4B9B-B5E8-ED5C40AF2179}"/>
            </c:ext>
          </c:extLst>
        </c:ser>
        <c:ser>
          <c:idx val="3"/>
          <c:order val="3"/>
          <c:tx>
            <c:strRef>
              <c:f>Pivots!$AB$19:$AB$20</c:f>
              <c:strCache>
                <c:ptCount val="1"/>
                <c:pt idx="0">
                  <c:v>Sedan</c:v>
                </c:pt>
              </c:strCache>
            </c:strRef>
          </c:tx>
          <c:spPr>
            <a:solidFill>
              <a:schemeClr val="accent4"/>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Pivots!$AB$21:$AB$63</c:f>
              <c:numCache>
                <c:formatCode>General</c:formatCode>
                <c:ptCount val="42"/>
                <c:pt idx="30">
                  <c:v>1</c:v>
                </c:pt>
                <c:pt idx="31">
                  <c:v>1</c:v>
                </c:pt>
                <c:pt idx="32">
                  <c:v>1</c:v>
                </c:pt>
                <c:pt idx="33">
                  <c:v>1</c:v>
                </c:pt>
                <c:pt idx="34">
                  <c:v>1</c:v>
                </c:pt>
                <c:pt idx="35">
                  <c:v>1</c:v>
                </c:pt>
                <c:pt idx="36">
                  <c:v>1</c:v>
                </c:pt>
                <c:pt idx="37">
                  <c:v>1</c:v>
                </c:pt>
                <c:pt idx="38">
                  <c:v>3</c:v>
                </c:pt>
                <c:pt idx="39">
                  <c:v>3</c:v>
                </c:pt>
                <c:pt idx="40">
                  <c:v>4</c:v>
                </c:pt>
                <c:pt idx="41">
                  <c:v>4</c:v>
                </c:pt>
              </c:numCache>
            </c:numRef>
          </c:val>
          <c:extLst>
            <c:ext xmlns:c16="http://schemas.microsoft.com/office/drawing/2014/chart" uri="{C3380CC4-5D6E-409C-BE32-E72D297353CC}">
              <c16:uniqueId val="{00000030-9BF1-4B9B-B5E8-ED5C40AF2179}"/>
            </c:ext>
          </c:extLst>
        </c:ser>
        <c:ser>
          <c:idx val="4"/>
          <c:order val="4"/>
          <c:tx>
            <c:strRef>
              <c:f>Pivots!$AC$19:$AC$20</c:f>
              <c:strCache>
                <c:ptCount val="1"/>
                <c:pt idx="0">
                  <c:v>Sports</c:v>
                </c:pt>
              </c:strCache>
            </c:strRef>
          </c:tx>
          <c:spPr>
            <a:solidFill>
              <a:schemeClr val="accent5"/>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Pivots!$AC$21:$AC$63</c:f>
              <c:numCache>
                <c:formatCode>General</c:formatCode>
                <c:ptCount val="42"/>
                <c:pt idx="38">
                  <c:v>1</c:v>
                </c:pt>
              </c:numCache>
            </c:numRef>
          </c:val>
          <c:extLst>
            <c:ext xmlns:c16="http://schemas.microsoft.com/office/drawing/2014/chart" uri="{C3380CC4-5D6E-409C-BE32-E72D297353CC}">
              <c16:uniqueId val="{00000031-9BF1-4B9B-B5E8-ED5C40AF2179}"/>
            </c:ext>
          </c:extLst>
        </c:ser>
        <c:ser>
          <c:idx val="5"/>
          <c:order val="5"/>
          <c:tx>
            <c:strRef>
              <c:f>Pivots!$AD$19:$AD$20</c:f>
              <c:strCache>
                <c:ptCount val="1"/>
                <c:pt idx="0">
                  <c:v>SUV</c:v>
                </c:pt>
              </c:strCache>
            </c:strRef>
          </c:tx>
          <c:spPr>
            <a:solidFill>
              <a:schemeClr val="accent6"/>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Pivots!$AD$21:$AD$63</c:f>
              <c:numCache>
                <c:formatCode>General</c:formatCode>
                <c:ptCount val="42"/>
                <c:pt idx="3">
                  <c:v>1</c:v>
                </c:pt>
                <c:pt idx="14">
                  <c:v>1</c:v>
                </c:pt>
                <c:pt idx="18">
                  <c:v>1</c:v>
                </c:pt>
                <c:pt idx="19">
                  <c:v>1</c:v>
                </c:pt>
                <c:pt idx="27">
                  <c:v>1</c:v>
                </c:pt>
                <c:pt idx="29">
                  <c:v>1</c:v>
                </c:pt>
                <c:pt idx="33">
                  <c:v>1</c:v>
                </c:pt>
                <c:pt idx="38">
                  <c:v>1</c:v>
                </c:pt>
                <c:pt idx="39">
                  <c:v>1</c:v>
                </c:pt>
                <c:pt idx="40">
                  <c:v>1</c:v>
                </c:pt>
                <c:pt idx="41">
                  <c:v>1</c:v>
                </c:pt>
              </c:numCache>
            </c:numRef>
          </c:val>
          <c:extLst>
            <c:ext xmlns:c16="http://schemas.microsoft.com/office/drawing/2014/chart" uri="{C3380CC4-5D6E-409C-BE32-E72D297353CC}">
              <c16:uniqueId val="{00000032-9BF1-4B9B-B5E8-ED5C40AF2179}"/>
            </c:ext>
          </c:extLst>
        </c:ser>
        <c:ser>
          <c:idx val="6"/>
          <c:order val="6"/>
          <c:tx>
            <c:strRef>
              <c:f>Pivots!$AE$19:$AE$20</c:f>
              <c:strCache>
                <c:ptCount val="1"/>
                <c:pt idx="0">
                  <c:v>Van</c:v>
                </c:pt>
              </c:strCache>
            </c:strRef>
          </c:tx>
          <c:spPr>
            <a:solidFill>
              <a:schemeClr val="accent1">
                <a:lumMod val="60000"/>
              </a:schemeClr>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Pivots!$AE$21:$AE$63</c:f>
              <c:numCache>
                <c:formatCode>General</c:formatCode>
                <c:ptCount val="42"/>
                <c:pt idx="6">
                  <c:v>1</c:v>
                </c:pt>
                <c:pt idx="7">
                  <c:v>1</c:v>
                </c:pt>
                <c:pt idx="21">
                  <c:v>1</c:v>
                </c:pt>
                <c:pt idx="25">
                  <c:v>1</c:v>
                </c:pt>
                <c:pt idx="26">
                  <c:v>1</c:v>
                </c:pt>
              </c:numCache>
            </c:numRef>
          </c:val>
          <c:extLst>
            <c:ext xmlns:c16="http://schemas.microsoft.com/office/drawing/2014/chart" uri="{C3380CC4-5D6E-409C-BE32-E72D297353CC}">
              <c16:uniqueId val="{00000033-9BF1-4B9B-B5E8-ED5C40AF2179}"/>
            </c:ext>
          </c:extLst>
        </c:ser>
        <c:dLbls>
          <c:showLegendKey val="0"/>
          <c:showVal val="0"/>
          <c:showCatName val="0"/>
          <c:showSerName val="0"/>
          <c:showPercent val="0"/>
          <c:showBubbleSize val="0"/>
        </c:dLbls>
        <c:gapWidth val="182"/>
        <c:axId val="1589259103"/>
        <c:axId val="1589232223"/>
      </c:barChart>
      <c:catAx>
        <c:axId val="158925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32223"/>
        <c:crosses val="autoZero"/>
        <c:auto val="1"/>
        <c:lblAlgn val="ctr"/>
        <c:lblOffset val="100"/>
        <c:noMultiLvlLbl val="0"/>
      </c:catAx>
      <c:valAx>
        <c:axId val="1589232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5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Pivots!$B$83</c:f>
              <c:strCache>
                <c:ptCount val="1"/>
                <c:pt idx="0">
                  <c:v>Total</c:v>
                </c:pt>
              </c:strCache>
            </c:strRef>
          </c:tx>
          <c:spPr>
            <a:ln w="28575" cap="rnd">
              <a:solidFill>
                <a:schemeClr val="accent1"/>
              </a:solidFill>
              <a:round/>
            </a:ln>
            <a:effectLst/>
          </c:spPr>
          <c:marker>
            <c:symbol val="none"/>
          </c:marker>
          <c:cat>
            <c:strRef>
              <c:f>Pivots!$A$84:$A$96</c:f>
              <c:strCache>
                <c:ptCount val="12"/>
                <c:pt idx="0">
                  <c:v>BMW 5 Series</c:v>
                </c:pt>
                <c:pt idx="1">
                  <c:v>Ford Everest</c:v>
                </c:pt>
                <c:pt idx="2">
                  <c:v>Honda Accord</c:v>
                </c:pt>
                <c:pt idx="3">
                  <c:v>Honda CR-V</c:v>
                </c:pt>
                <c:pt idx="4">
                  <c:v>Mazda 3</c:v>
                </c:pt>
                <c:pt idx="5">
                  <c:v>Mercedes-Benz E-Class</c:v>
                </c:pt>
                <c:pt idx="6">
                  <c:v>Mitsubishi Montero Sport</c:v>
                </c:pt>
                <c:pt idx="7">
                  <c:v>Nissan Urvan</c:v>
                </c:pt>
                <c:pt idx="8">
                  <c:v>Tesla Model 3 or Similar</c:v>
                </c:pt>
                <c:pt idx="9">
                  <c:v>Toyota Camry</c:v>
                </c:pt>
                <c:pt idx="10">
                  <c:v>Toyota Hiace</c:v>
                </c:pt>
                <c:pt idx="11">
                  <c:v>Toyota Vios</c:v>
                </c:pt>
              </c:strCache>
            </c:strRef>
          </c:cat>
          <c:val>
            <c:numRef>
              <c:f>Pivots!$B$84:$B$96</c:f>
              <c:numCache>
                <c:formatCode>General</c:formatCode>
                <c:ptCount val="12"/>
                <c:pt idx="0">
                  <c:v>5</c:v>
                </c:pt>
                <c:pt idx="1">
                  <c:v>5</c:v>
                </c:pt>
                <c:pt idx="2">
                  <c:v>7</c:v>
                </c:pt>
                <c:pt idx="3">
                  <c:v>3</c:v>
                </c:pt>
                <c:pt idx="4">
                  <c:v>5</c:v>
                </c:pt>
                <c:pt idx="5">
                  <c:v>5</c:v>
                </c:pt>
                <c:pt idx="6">
                  <c:v>3</c:v>
                </c:pt>
                <c:pt idx="7">
                  <c:v>4</c:v>
                </c:pt>
                <c:pt idx="8">
                  <c:v>5</c:v>
                </c:pt>
                <c:pt idx="9">
                  <c:v>8</c:v>
                </c:pt>
                <c:pt idx="10">
                  <c:v>4</c:v>
                </c:pt>
                <c:pt idx="11">
                  <c:v>9</c:v>
                </c:pt>
              </c:numCache>
            </c:numRef>
          </c:val>
          <c:smooth val="0"/>
          <c:extLst>
            <c:ext xmlns:c16="http://schemas.microsoft.com/office/drawing/2014/chart" uri="{C3380CC4-5D6E-409C-BE32-E72D297353CC}">
              <c16:uniqueId val="{00000000-DB0D-4160-B1BF-019387DEF9BD}"/>
            </c:ext>
          </c:extLst>
        </c:ser>
        <c:dLbls>
          <c:showLegendKey val="0"/>
          <c:showVal val="0"/>
          <c:showCatName val="0"/>
          <c:showSerName val="0"/>
          <c:showPercent val="0"/>
          <c:showBubbleSize val="0"/>
        </c:dLbls>
        <c:smooth val="0"/>
        <c:axId val="1641680415"/>
        <c:axId val="1641680895"/>
      </c:lineChart>
      <c:catAx>
        <c:axId val="164168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80895"/>
        <c:crosses val="autoZero"/>
        <c:auto val="1"/>
        <c:lblAlgn val="ctr"/>
        <c:lblOffset val="100"/>
        <c:noMultiLvlLbl val="0"/>
      </c:catAx>
      <c:valAx>
        <c:axId val="164168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8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[ODBC.xlsx]Pivots!PivotTable21</c:name>
    <c:fmtId val="1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Pivots!$B$102:$B$103</c:f>
              <c:strCache>
                <c:ptCount val="1"/>
                <c:pt idx="0">
                  <c:v>Active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Pivots!$A$104:$A$125</c:f>
              <c:strCache>
                <c:ptCount val="21"/>
                <c:pt idx="0">
                  <c:v>Manila Office</c:v>
                </c:pt>
                <c:pt idx="1">
                  <c:v>Quezon City Branch</c:v>
                </c:pt>
                <c:pt idx="2">
                  <c:v>Pasig Branch</c:v>
                </c:pt>
                <c:pt idx="3">
                  <c:v>Makati Branch</c:v>
                </c:pt>
                <c:pt idx="4">
                  <c:v>Taguig Branch</c:v>
                </c:pt>
                <c:pt idx="5">
                  <c:v>MNL - Manila Ninoy Aquino International Airport</c:v>
                </c:pt>
                <c:pt idx="6">
                  <c:v>Pasay City - Mall of Asia</c:v>
                </c:pt>
                <c:pt idx="7">
                  <c:v>Any Hotel in Metro Manila (Hotel Delivery)</c:v>
                </c:pt>
                <c:pt idx="8">
                  <c:v>Quezon City - Cubao</c:v>
                </c:pt>
                <c:pt idx="9">
                  <c:v>Makati City Center</c:v>
                </c:pt>
                <c:pt idx="10">
                  <c:v>Bonifacio Global City (BGC)</c:v>
                </c:pt>
                <c:pt idx="11">
                  <c:v>Solaire Resort &amp; Casino</c:v>
                </c:pt>
                <c:pt idx="12">
                  <c:v>DVO - Francisco Bangoy International Airport</c:v>
                </c:pt>
                <c:pt idx="13">
                  <c:v>Mandaluyong City - Ortigas Center</c:v>
                </c:pt>
                <c:pt idx="14">
                  <c:v>LRT Buendia Station</c:v>
                </c:pt>
                <c:pt idx="15">
                  <c:v>Shangri-La Hotel</c:v>
                </c:pt>
                <c:pt idx="16">
                  <c:v>CEB - Mactan-Cebu International Airport</c:v>
                </c:pt>
                <c:pt idx="17">
                  <c:v>MRT Ayala Station</c:v>
                </c:pt>
                <c:pt idx="18">
                  <c:v>CRK - Clark International Airport</c:v>
                </c:pt>
                <c:pt idx="19">
                  <c:v>Okada Manila</c:v>
                </c:pt>
                <c:pt idx="20">
                  <c:v>MRT Taft Station</c:v>
                </c:pt>
              </c:strCache>
            </c:strRef>
          </c:cat>
          <c:val>
            <c:numRef>
              <c:f>Pivots!$B$104:$B$125</c:f>
              <c:numCache>
                <c:formatCode>General</c:formatCode>
                <c:ptCount val="21"/>
                <c:pt idx="6">
                  <c:v>1</c:v>
                </c:pt>
                <c:pt idx="9">
                  <c:v>1</c:v>
                </c:pt>
                <c:pt idx="11">
                  <c:v>1</c:v>
                </c:pt>
                <c:pt idx="15">
                  <c:v>1</c:v>
                </c:pt>
                <c:pt idx="17">
                  <c:v>1</c:v>
                </c:pt>
              </c:numCache>
            </c:numRef>
          </c:val>
          <c:smooth val="0"/>
          <c:extLst>
            <c:ext xmlns:c16="http://schemas.microsoft.com/office/drawing/2014/chart" uri="{C3380CC4-5D6E-409C-BE32-E72D297353CC}">
              <c16:uniqueId val="{00000000-52B7-4E12-8769-602F0D9615EB}"/>
            </c:ext>
          </c:extLst>
        </c:ser>
        <c:ser>
          <c:idx val="1"/>
          <c:order val="1"/>
          <c:tx>
            <c:strRef>
              <c:f>Pivots!$C$102:$C$103</c:f>
              <c:strCache>
                <c:ptCount val="1"/>
                <c:pt idx="0">
                  <c:v>Cancelled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Pivots!$A$104:$A$125</c:f>
              <c:strCache>
                <c:ptCount val="21"/>
                <c:pt idx="0">
                  <c:v>Manila Office</c:v>
                </c:pt>
                <c:pt idx="1">
                  <c:v>Quezon City Branch</c:v>
                </c:pt>
                <c:pt idx="2">
                  <c:v>Pasig Branch</c:v>
                </c:pt>
                <c:pt idx="3">
                  <c:v>Makati Branch</c:v>
                </c:pt>
                <c:pt idx="4">
                  <c:v>Taguig Branch</c:v>
                </c:pt>
                <c:pt idx="5">
                  <c:v>MNL - Manila Ninoy Aquino International Airport</c:v>
                </c:pt>
                <c:pt idx="6">
                  <c:v>Pasay City - Mall of Asia</c:v>
                </c:pt>
                <c:pt idx="7">
                  <c:v>Any Hotel in Metro Manila (Hotel Delivery)</c:v>
                </c:pt>
                <c:pt idx="8">
                  <c:v>Quezon City - Cubao</c:v>
                </c:pt>
                <c:pt idx="9">
                  <c:v>Makati City Center</c:v>
                </c:pt>
                <c:pt idx="10">
                  <c:v>Bonifacio Global City (BGC)</c:v>
                </c:pt>
                <c:pt idx="11">
                  <c:v>Solaire Resort &amp; Casino</c:v>
                </c:pt>
                <c:pt idx="12">
                  <c:v>DVO - Francisco Bangoy International Airport</c:v>
                </c:pt>
                <c:pt idx="13">
                  <c:v>Mandaluyong City - Ortigas Center</c:v>
                </c:pt>
                <c:pt idx="14">
                  <c:v>LRT Buendia Station</c:v>
                </c:pt>
                <c:pt idx="15">
                  <c:v>Shangri-La Hotel</c:v>
                </c:pt>
                <c:pt idx="16">
                  <c:v>CEB - Mactan-Cebu International Airport</c:v>
                </c:pt>
                <c:pt idx="17">
                  <c:v>MRT Ayala Station</c:v>
                </c:pt>
                <c:pt idx="18">
                  <c:v>CRK - Clark International Airport</c:v>
                </c:pt>
                <c:pt idx="19">
                  <c:v>Okada Manila</c:v>
                </c:pt>
                <c:pt idx="20">
                  <c:v>MRT Taft Station</c:v>
                </c:pt>
              </c:strCache>
            </c:strRef>
          </c:cat>
          <c:val>
            <c:numRef>
              <c:f>Pivots!$C$104:$C$125</c:f>
              <c:numCache>
                <c:formatCode>General</c:formatCode>
                <c:ptCount val="21"/>
                <c:pt idx="5">
                  <c:v>1</c:v>
                </c:pt>
                <c:pt idx="6">
                  <c:v>1</c:v>
                </c:pt>
                <c:pt idx="7">
                  <c:v>1</c:v>
                </c:pt>
                <c:pt idx="8">
                  <c:v>1</c:v>
                </c:pt>
                <c:pt idx="9">
                  <c:v>1</c:v>
                </c:pt>
                <c:pt idx="10">
                  <c:v>2</c:v>
                </c:pt>
                <c:pt idx="12">
                  <c:v>1</c:v>
                </c:pt>
                <c:pt idx="14">
                  <c:v>1</c:v>
                </c:pt>
                <c:pt idx="16">
                  <c:v>1</c:v>
                </c:pt>
              </c:numCache>
            </c:numRef>
          </c:val>
          <c:smooth val="0"/>
          <c:extLst>
            <c:ext xmlns:c16="http://schemas.microsoft.com/office/drawing/2014/chart" uri="{C3380CC4-5D6E-409C-BE32-E72D297353CC}">
              <c16:uniqueId val="{00000023-52B7-4E12-8769-602F0D9615EB}"/>
            </c:ext>
          </c:extLst>
        </c:ser>
        <c:ser>
          <c:idx val="2"/>
          <c:order val="2"/>
          <c:tx>
            <c:strRef>
              <c:f>Pivots!$D$102:$D$103</c:f>
              <c:strCache>
                <c:ptCount val="1"/>
                <c:pt idx="0">
                  <c:v>Completed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Pivots!$A$104:$A$125</c:f>
              <c:strCache>
                <c:ptCount val="21"/>
                <c:pt idx="0">
                  <c:v>Manila Office</c:v>
                </c:pt>
                <c:pt idx="1">
                  <c:v>Quezon City Branch</c:v>
                </c:pt>
                <c:pt idx="2">
                  <c:v>Pasig Branch</c:v>
                </c:pt>
                <c:pt idx="3">
                  <c:v>Makati Branch</c:v>
                </c:pt>
                <c:pt idx="4">
                  <c:v>Taguig Branch</c:v>
                </c:pt>
                <c:pt idx="5">
                  <c:v>MNL - Manila Ninoy Aquino International Airport</c:v>
                </c:pt>
                <c:pt idx="6">
                  <c:v>Pasay City - Mall of Asia</c:v>
                </c:pt>
                <c:pt idx="7">
                  <c:v>Any Hotel in Metro Manila (Hotel Delivery)</c:v>
                </c:pt>
                <c:pt idx="8">
                  <c:v>Quezon City - Cubao</c:v>
                </c:pt>
                <c:pt idx="9">
                  <c:v>Makati City Center</c:v>
                </c:pt>
                <c:pt idx="10">
                  <c:v>Bonifacio Global City (BGC)</c:v>
                </c:pt>
                <c:pt idx="11">
                  <c:v>Solaire Resort &amp; Casino</c:v>
                </c:pt>
                <c:pt idx="12">
                  <c:v>DVO - Francisco Bangoy International Airport</c:v>
                </c:pt>
                <c:pt idx="13">
                  <c:v>Mandaluyong City - Ortigas Center</c:v>
                </c:pt>
                <c:pt idx="14">
                  <c:v>LRT Buendia Station</c:v>
                </c:pt>
                <c:pt idx="15">
                  <c:v>Shangri-La Hotel</c:v>
                </c:pt>
                <c:pt idx="16">
                  <c:v>CEB - Mactan-Cebu International Airport</c:v>
                </c:pt>
                <c:pt idx="17">
                  <c:v>MRT Ayala Station</c:v>
                </c:pt>
                <c:pt idx="18">
                  <c:v>CRK - Clark International Airport</c:v>
                </c:pt>
                <c:pt idx="19">
                  <c:v>Okada Manila</c:v>
                </c:pt>
                <c:pt idx="20">
                  <c:v>MRT Taft Station</c:v>
                </c:pt>
              </c:strCache>
            </c:strRef>
          </c:cat>
          <c:val>
            <c:numRef>
              <c:f>Pivots!$D$104:$D$125</c:f>
              <c:numCache>
                <c:formatCode>General</c:formatCode>
                <c:ptCount val="21"/>
                <c:pt idx="0">
                  <c:v>6</c:v>
                </c:pt>
                <c:pt idx="1">
                  <c:v>5</c:v>
                </c:pt>
                <c:pt idx="2">
                  <c:v>5</c:v>
                </c:pt>
                <c:pt idx="3">
                  <c:v>5</c:v>
                </c:pt>
                <c:pt idx="4">
                  <c:v>4</c:v>
                </c:pt>
                <c:pt idx="5">
                  <c:v>3</c:v>
                </c:pt>
                <c:pt idx="6">
                  <c:v>1</c:v>
                </c:pt>
                <c:pt idx="7">
                  <c:v>2</c:v>
                </c:pt>
                <c:pt idx="8">
                  <c:v>2</c:v>
                </c:pt>
                <c:pt idx="9">
                  <c:v>1</c:v>
                </c:pt>
                <c:pt idx="10">
                  <c:v>1</c:v>
                </c:pt>
                <c:pt idx="11">
                  <c:v>1</c:v>
                </c:pt>
                <c:pt idx="12">
                  <c:v>1</c:v>
                </c:pt>
                <c:pt idx="13">
                  <c:v>2</c:v>
                </c:pt>
                <c:pt idx="14">
                  <c:v>1</c:v>
                </c:pt>
                <c:pt idx="15">
                  <c:v>1</c:v>
                </c:pt>
                <c:pt idx="16">
                  <c:v>1</c:v>
                </c:pt>
                <c:pt idx="17">
                  <c:v>1</c:v>
                </c:pt>
                <c:pt idx="18">
                  <c:v>2</c:v>
                </c:pt>
                <c:pt idx="19">
                  <c:v>2</c:v>
                </c:pt>
                <c:pt idx="20">
                  <c:v>1</c:v>
                </c:pt>
              </c:numCache>
            </c:numRef>
          </c:val>
          <c:smooth val="0"/>
          <c:extLst>
            <c:ext xmlns:c16="http://schemas.microsoft.com/office/drawing/2014/chart" uri="{C3380CC4-5D6E-409C-BE32-E72D297353CC}">
              <c16:uniqueId val="{00000024-52B7-4E12-8769-602F0D9615EB}"/>
            </c:ext>
          </c:extLst>
        </c:ser>
        <c:dLbls>
          <c:showLegendKey val="0"/>
          <c:showVal val="0"/>
          <c:showCatName val="0"/>
          <c:showSerName val="0"/>
          <c:showPercent val="0"/>
          <c:showBubbleSize val="0"/>
        </c:dLbls>
        <c:marker val="1"/>
        <c:smooth val="0"/>
        <c:axId val="1633142975"/>
        <c:axId val="1633154975"/>
      </c:lineChart>
      <c:catAx>
        <c:axId val="163314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154975"/>
        <c:crosses val="autoZero"/>
        <c:auto val="1"/>
        <c:lblAlgn val="ctr"/>
        <c:lblOffset val="100"/>
        <c:noMultiLvlLbl val="0"/>
      </c:catAx>
      <c:valAx>
        <c:axId val="163315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14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[ODBC.xlsx]Pivots!PivotTable23</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Pivots!$B$148:$B$149</c:f>
              <c:strCache>
                <c:ptCount val="1"/>
                <c:pt idx="0">
                  <c:v>Active</c:v>
                </c:pt>
              </c:strCache>
            </c:strRef>
          </c:tx>
          <c:spPr>
            <a:solidFill>
              <a:schemeClr val="accent1"/>
            </a:solidFill>
            <a:ln>
              <a:noFill/>
            </a:ln>
            <a:effectLst/>
          </c:spPr>
          <c:invertIfNegative val="0"/>
          <c:cat>
            <c:strRef>
              <c:f>Pivots!$A$150:$A$178</c:f>
              <c:strCache>
                <c:ptCount val="28"/>
                <c:pt idx="0">
                  <c:v>Honda Civic</c:v>
                </c:pt>
                <c:pt idx="1">
                  <c:v>Toyota Camry</c:v>
                </c:pt>
                <c:pt idx="2">
                  <c:v>Hyundai Elantra</c:v>
                </c:pt>
                <c:pt idx="3">
                  <c:v>BMW 5 Series</c:v>
                </c:pt>
                <c:pt idx="4">
                  <c:v>Tesla Model 3 or Similar</c:v>
                </c:pt>
                <c:pt idx="5">
                  <c:v>Honda CR-V</c:v>
                </c:pt>
                <c:pt idx="6">
                  <c:v>Toyota Hiace</c:v>
                </c:pt>
                <c:pt idx="7">
                  <c:v>Nissan Altima</c:v>
                </c:pt>
                <c:pt idx="8">
                  <c:v>Mercedes-Benz E-Class</c:v>
                </c:pt>
                <c:pt idx="9">
                  <c:v>Nissan Urvan</c:v>
                </c:pt>
                <c:pt idx="10">
                  <c:v>Chevrolet Malibu</c:v>
                </c:pt>
                <c:pt idx="11">
                  <c:v>Mitsubishi Montero Sport</c:v>
                </c:pt>
                <c:pt idx="12">
                  <c:v>Ford Everest</c:v>
                </c:pt>
                <c:pt idx="13">
                  <c:v>Nissan Leaf</c:v>
                </c:pt>
                <c:pt idx="14">
                  <c:v>BMW 3 Series</c:v>
                </c:pt>
                <c:pt idx="15">
                  <c:v>Audi A6</c:v>
                </c:pt>
                <c:pt idx="16">
                  <c:v>Honda Accord</c:v>
                </c:pt>
                <c:pt idx="17">
                  <c:v>Toyota Corolla</c:v>
                </c:pt>
                <c:pt idx="18">
                  <c:v>Toyota Vios</c:v>
                </c:pt>
                <c:pt idx="19">
                  <c:v>Mazda CX-5</c:v>
                </c:pt>
                <c:pt idx="20">
                  <c:v>Volkswagen Jetta</c:v>
                </c:pt>
                <c:pt idx="21">
                  <c:v>Jeep Wrangler</c:v>
                </c:pt>
                <c:pt idx="22">
                  <c:v>Mazda 3</c:v>
                </c:pt>
                <c:pt idx="23">
                  <c:v>Tesla Model 3</c:v>
                </c:pt>
                <c:pt idx="24">
                  <c:v>Ford Mustang</c:v>
                </c:pt>
                <c:pt idx="25">
                  <c:v>Audi A4</c:v>
                </c:pt>
                <c:pt idx="26">
                  <c:v>Mercedes-Benz C-Class</c:v>
                </c:pt>
                <c:pt idx="27">
                  <c:v>Kia Optima</c:v>
                </c:pt>
              </c:strCache>
            </c:strRef>
          </c:cat>
          <c:val>
            <c:numRef>
              <c:f>Pivots!$B$150:$B$178</c:f>
              <c:numCache>
                <c:formatCode>General</c:formatCode>
                <c:ptCount val="28"/>
                <c:pt idx="5">
                  <c:v>1</c:v>
                </c:pt>
                <c:pt idx="6">
                  <c:v>1</c:v>
                </c:pt>
                <c:pt idx="9">
                  <c:v>1</c:v>
                </c:pt>
                <c:pt idx="11">
                  <c:v>1</c:v>
                </c:pt>
                <c:pt idx="13">
                  <c:v>1</c:v>
                </c:pt>
              </c:numCache>
            </c:numRef>
          </c:val>
          <c:extLst>
            <c:ext xmlns:c16="http://schemas.microsoft.com/office/drawing/2014/chart" uri="{C3380CC4-5D6E-409C-BE32-E72D297353CC}">
              <c16:uniqueId val="{00000000-8AE3-4F12-A404-668B2B802298}"/>
            </c:ext>
          </c:extLst>
        </c:ser>
        <c:ser>
          <c:idx val="1"/>
          <c:order val="1"/>
          <c:tx>
            <c:strRef>
              <c:f>Pivots!$C$148:$C$149</c:f>
              <c:strCache>
                <c:ptCount val="1"/>
                <c:pt idx="0">
                  <c:v>Cancelled</c:v>
                </c:pt>
              </c:strCache>
            </c:strRef>
          </c:tx>
          <c:spPr>
            <a:solidFill>
              <a:schemeClr val="accent2"/>
            </a:solidFill>
            <a:ln>
              <a:noFill/>
            </a:ln>
            <a:effectLst/>
          </c:spPr>
          <c:invertIfNegative val="0"/>
          <c:cat>
            <c:strRef>
              <c:f>Pivots!$A$150:$A$178</c:f>
              <c:strCache>
                <c:ptCount val="28"/>
                <c:pt idx="0">
                  <c:v>Honda Civic</c:v>
                </c:pt>
                <c:pt idx="1">
                  <c:v>Toyota Camry</c:v>
                </c:pt>
                <c:pt idx="2">
                  <c:v>Hyundai Elantra</c:v>
                </c:pt>
                <c:pt idx="3">
                  <c:v>BMW 5 Series</c:v>
                </c:pt>
                <c:pt idx="4">
                  <c:v>Tesla Model 3 or Similar</c:v>
                </c:pt>
                <c:pt idx="5">
                  <c:v>Honda CR-V</c:v>
                </c:pt>
                <c:pt idx="6">
                  <c:v>Toyota Hiace</c:v>
                </c:pt>
                <c:pt idx="7">
                  <c:v>Nissan Altima</c:v>
                </c:pt>
                <c:pt idx="8">
                  <c:v>Mercedes-Benz E-Class</c:v>
                </c:pt>
                <c:pt idx="9">
                  <c:v>Nissan Urvan</c:v>
                </c:pt>
                <c:pt idx="10">
                  <c:v>Chevrolet Malibu</c:v>
                </c:pt>
                <c:pt idx="11">
                  <c:v>Mitsubishi Montero Sport</c:v>
                </c:pt>
                <c:pt idx="12">
                  <c:v>Ford Everest</c:v>
                </c:pt>
                <c:pt idx="13">
                  <c:v>Nissan Leaf</c:v>
                </c:pt>
                <c:pt idx="14">
                  <c:v>BMW 3 Series</c:v>
                </c:pt>
                <c:pt idx="15">
                  <c:v>Audi A6</c:v>
                </c:pt>
                <c:pt idx="16">
                  <c:v>Honda Accord</c:v>
                </c:pt>
                <c:pt idx="17">
                  <c:v>Toyota Corolla</c:v>
                </c:pt>
                <c:pt idx="18">
                  <c:v>Toyota Vios</c:v>
                </c:pt>
                <c:pt idx="19">
                  <c:v>Mazda CX-5</c:v>
                </c:pt>
                <c:pt idx="20">
                  <c:v>Volkswagen Jetta</c:v>
                </c:pt>
                <c:pt idx="21">
                  <c:v>Jeep Wrangler</c:v>
                </c:pt>
                <c:pt idx="22">
                  <c:v>Mazda 3</c:v>
                </c:pt>
                <c:pt idx="23">
                  <c:v>Tesla Model 3</c:v>
                </c:pt>
                <c:pt idx="24">
                  <c:v>Ford Mustang</c:v>
                </c:pt>
                <c:pt idx="25">
                  <c:v>Audi A4</c:v>
                </c:pt>
                <c:pt idx="26">
                  <c:v>Mercedes-Benz C-Class</c:v>
                </c:pt>
                <c:pt idx="27">
                  <c:v>Kia Optima</c:v>
                </c:pt>
              </c:strCache>
            </c:strRef>
          </c:cat>
          <c:val>
            <c:numRef>
              <c:f>Pivots!$C$150:$C$178</c:f>
              <c:numCache>
                <c:formatCode>General</c:formatCode>
                <c:ptCount val="28"/>
                <c:pt idx="1">
                  <c:v>1</c:v>
                </c:pt>
                <c:pt idx="2">
                  <c:v>1</c:v>
                </c:pt>
                <c:pt idx="3">
                  <c:v>2</c:v>
                </c:pt>
                <c:pt idx="4">
                  <c:v>2</c:v>
                </c:pt>
                <c:pt idx="5">
                  <c:v>1</c:v>
                </c:pt>
                <c:pt idx="6">
                  <c:v>1</c:v>
                </c:pt>
                <c:pt idx="8">
                  <c:v>1</c:v>
                </c:pt>
                <c:pt idx="15">
                  <c:v>1</c:v>
                </c:pt>
              </c:numCache>
            </c:numRef>
          </c:val>
          <c:extLst>
            <c:ext xmlns:c16="http://schemas.microsoft.com/office/drawing/2014/chart" uri="{C3380CC4-5D6E-409C-BE32-E72D297353CC}">
              <c16:uniqueId val="{00000023-8AE3-4F12-A404-668B2B802298}"/>
            </c:ext>
          </c:extLst>
        </c:ser>
        <c:ser>
          <c:idx val="2"/>
          <c:order val="2"/>
          <c:tx>
            <c:strRef>
              <c:f>Pivots!$D$148:$D$149</c:f>
              <c:strCache>
                <c:ptCount val="1"/>
                <c:pt idx="0">
                  <c:v>Completed</c:v>
                </c:pt>
              </c:strCache>
            </c:strRef>
          </c:tx>
          <c:spPr>
            <a:solidFill>
              <a:schemeClr val="accent3"/>
            </a:solidFill>
            <a:ln>
              <a:noFill/>
            </a:ln>
            <a:effectLst/>
          </c:spPr>
          <c:invertIfNegative val="0"/>
          <c:cat>
            <c:strRef>
              <c:f>Pivots!$A$150:$A$178</c:f>
              <c:strCache>
                <c:ptCount val="28"/>
                <c:pt idx="0">
                  <c:v>Honda Civic</c:v>
                </c:pt>
                <c:pt idx="1">
                  <c:v>Toyota Camry</c:v>
                </c:pt>
                <c:pt idx="2">
                  <c:v>Hyundai Elantra</c:v>
                </c:pt>
                <c:pt idx="3">
                  <c:v>BMW 5 Series</c:v>
                </c:pt>
                <c:pt idx="4">
                  <c:v>Tesla Model 3 or Similar</c:v>
                </c:pt>
                <c:pt idx="5">
                  <c:v>Honda CR-V</c:v>
                </c:pt>
                <c:pt idx="6">
                  <c:v>Toyota Hiace</c:v>
                </c:pt>
                <c:pt idx="7">
                  <c:v>Nissan Altima</c:v>
                </c:pt>
                <c:pt idx="8">
                  <c:v>Mercedes-Benz E-Class</c:v>
                </c:pt>
                <c:pt idx="9">
                  <c:v>Nissan Urvan</c:v>
                </c:pt>
                <c:pt idx="10">
                  <c:v>Chevrolet Malibu</c:v>
                </c:pt>
                <c:pt idx="11">
                  <c:v>Mitsubishi Montero Sport</c:v>
                </c:pt>
                <c:pt idx="12">
                  <c:v>Ford Everest</c:v>
                </c:pt>
                <c:pt idx="13">
                  <c:v>Nissan Leaf</c:v>
                </c:pt>
                <c:pt idx="14">
                  <c:v>BMW 3 Series</c:v>
                </c:pt>
                <c:pt idx="15">
                  <c:v>Audi A6</c:v>
                </c:pt>
                <c:pt idx="16">
                  <c:v>Honda Accord</c:v>
                </c:pt>
                <c:pt idx="17">
                  <c:v>Toyota Corolla</c:v>
                </c:pt>
                <c:pt idx="18">
                  <c:v>Toyota Vios</c:v>
                </c:pt>
                <c:pt idx="19">
                  <c:v>Mazda CX-5</c:v>
                </c:pt>
                <c:pt idx="20">
                  <c:v>Volkswagen Jetta</c:v>
                </c:pt>
                <c:pt idx="21">
                  <c:v>Jeep Wrangler</c:v>
                </c:pt>
                <c:pt idx="22">
                  <c:v>Mazda 3</c:v>
                </c:pt>
                <c:pt idx="23">
                  <c:v>Tesla Model 3</c:v>
                </c:pt>
                <c:pt idx="24">
                  <c:v>Ford Mustang</c:v>
                </c:pt>
                <c:pt idx="25">
                  <c:v>Audi A4</c:v>
                </c:pt>
                <c:pt idx="26">
                  <c:v>Mercedes-Benz C-Class</c:v>
                </c:pt>
                <c:pt idx="27">
                  <c:v>Kia Optima</c:v>
                </c:pt>
              </c:strCache>
            </c:strRef>
          </c:cat>
          <c:val>
            <c:numRef>
              <c:f>Pivots!$D$150:$D$178</c:f>
              <c:numCache>
                <c:formatCode>General</c:formatCode>
                <c:ptCount val="28"/>
                <c:pt idx="0">
                  <c:v>5</c:v>
                </c:pt>
                <c:pt idx="1">
                  <c:v>4</c:v>
                </c:pt>
                <c:pt idx="2">
                  <c:v>3</c:v>
                </c:pt>
                <c:pt idx="3">
                  <c:v>1</c:v>
                </c:pt>
                <c:pt idx="4">
                  <c:v>1</c:v>
                </c:pt>
                <c:pt idx="5">
                  <c:v>1</c:v>
                </c:pt>
                <c:pt idx="6">
                  <c:v>1</c:v>
                </c:pt>
                <c:pt idx="7">
                  <c:v>2</c:v>
                </c:pt>
                <c:pt idx="8">
                  <c:v>1</c:v>
                </c:pt>
                <c:pt idx="9">
                  <c:v>1</c:v>
                </c:pt>
                <c:pt idx="10">
                  <c:v>2</c:v>
                </c:pt>
                <c:pt idx="11">
                  <c:v>1</c:v>
                </c:pt>
                <c:pt idx="12">
                  <c:v>2</c:v>
                </c:pt>
                <c:pt idx="13">
                  <c:v>1</c:v>
                </c:pt>
                <c:pt idx="14">
                  <c:v>2</c:v>
                </c:pt>
                <c:pt idx="15">
                  <c:v>1</c:v>
                </c:pt>
                <c:pt idx="16">
                  <c:v>2</c:v>
                </c:pt>
                <c:pt idx="17">
                  <c:v>2</c:v>
                </c:pt>
                <c:pt idx="18">
                  <c:v>2</c:v>
                </c:pt>
                <c:pt idx="19">
                  <c:v>2</c:v>
                </c:pt>
                <c:pt idx="20">
                  <c:v>2</c:v>
                </c:pt>
                <c:pt idx="21">
                  <c:v>2</c:v>
                </c:pt>
                <c:pt idx="22">
                  <c:v>2</c:v>
                </c:pt>
                <c:pt idx="23">
                  <c:v>1</c:v>
                </c:pt>
                <c:pt idx="24">
                  <c:v>1</c:v>
                </c:pt>
                <c:pt idx="25">
                  <c:v>1</c:v>
                </c:pt>
                <c:pt idx="26">
                  <c:v>1</c:v>
                </c:pt>
                <c:pt idx="27">
                  <c:v>1</c:v>
                </c:pt>
              </c:numCache>
            </c:numRef>
          </c:val>
          <c:extLst>
            <c:ext xmlns:c16="http://schemas.microsoft.com/office/drawing/2014/chart" uri="{C3380CC4-5D6E-409C-BE32-E72D297353CC}">
              <c16:uniqueId val="{00000024-8AE3-4F12-A404-668B2B802298}"/>
            </c:ext>
          </c:extLst>
        </c:ser>
        <c:dLbls>
          <c:showLegendKey val="0"/>
          <c:showVal val="0"/>
          <c:showCatName val="0"/>
          <c:showSerName val="0"/>
          <c:showPercent val="0"/>
          <c:showBubbleSize val="0"/>
        </c:dLbls>
        <c:gapWidth val="150"/>
        <c:overlap val="100"/>
        <c:axId val="1589292703"/>
        <c:axId val="1589271103"/>
      </c:barChart>
      <c:catAx>
        <c:axId val="158929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71103"/>
        <c:crosses val="autoZero"/>
        <c:auto val="1"/>
        <c:lblAlgn val="ctr"/>
        <c:lblOffset val="100"/>
        <c:noMultiLvlLbl val="0"/>
      </c:catAx>
      <c:valAx>
        <c:axId val="158927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9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Pivots!$Q$141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Pivots!$P$142:$P$154</c:f>
              <c:strCache>
                <c:ptCount val="12"/>
                <c:pt idx="0">
                  <c:v>BMW 5 Series</c:v>
                </c:pt>
                <c:pt idx="1">
                  <c:v>Ford Everest</c:v>
                </c:pt>
                <c:pt idx="2">
                  <c:v>Honda Accord</c:v>
                </c:pt>
                <c:pt idx="3">
                  <c:v>Honda CR-V</c:v>
                </c:pt>
                <c:pt idx="4">
                  <c:v>Mazda 3</c:v>
                </c:pt>
                <c:pt idx="5">
                  <c:v>Mercedes-Benz E-Class</c:v>
                </c:pt>
                <c:pt idx="6">
                  <c:v>Mitsubishi Montero Sport</c:v>
                </c:pt>
                <c:pt idx="7">
                  <c:v>Nissan Urvan</c:v>
                </c:pt>
                <c:pt idx="8">
                  <c:v>Tesla Model 3 or Similar</c:v>
                </c:pt>
                <c:pt idx="9">
                  <c:v>Toyota Camry</c:v>
                </c:pt>
                <c:pt idx="10">
                  <c:v>Toyota Hiace</c:v>
                </c:pt>
                <c:pt idx="11">
                  <c:v>Toyota Vios</c:v>
                </c:pt>
              </c:strCache>
            </c:strRef>
          </c:cat>
          <c:val>
            <c:numRef>
              <c:f>Pivots!$Q$142:$Q$154</c:f>
              <c:numCache>
                <c:formatCode>General</c:formatCode>
                <c:ptCount val="12"/>
                <c:pt idx="0">
                  <c:v>5</c:v>
                </c:pt>
                <c:pt idx="1">
                  <c:v>5</c:v>
                </c:pt>
                <c:pt idx="2">
                  <c:v>7</c:v>
                </c:pt>
                <c:pt idx="3">
                  <c:v>3</c:v>
                </c:pt>
                <c:pt idx="4">
                  <c:v>5</c:v>
                </c:pt>
                <c:pt idx="5">
                  <c:v>5</c:v>
                </c:pt>
                <c:pt idx="6">
                  <c:v>3</c:v>
                </c:pt>
                <c:pt idx="7">
                  <c:v>4</c:v>
                </c:pt>
                <c:pt idx="8">
                  <c:v>5</c:v>
                </c:pt>
                <c:pt idx="9">
                  <c:v>8</c:v>
                </c:pt>
                <c:pt idx="10">
                  <c:v>4</c:v>
                </c:pt>
                <c:pt idx="11">
                  <c:v>9</c:v>
                </c:pt>
              </c:numCache>
            </c:numRef>
          </c:val>
          <c:smooth val="0"/>
          <c:extLst>
            <c:ext xmlns:c16="http://schemas.microsoft.com/office/drawing/2014/chart" uri="{C3380CC4-5D6E-409C-BE32-E72D297353CC}">
              <c16:uniqueId val="{00000000-67BA-463F-983F-5593DF112102}"/>
            </c:ext>
          </c:extLst>
        </c:ser>
        <c:dLbls>
          <c:showLegendKey val="0"/>
          <c:showVal val="0"/>
          <c:showCatName val="0"/>
          <c:showSerName val="0"/>
          <c:showPercent val="0"/>
          <c:showBubbleSize val="0"/>
        </c:dLbls>
        <c:marker val="1"/>
        <c:smooth val="0"/>
        <c:axId val="138149056"/>
        <c:axId val="138133216"/>
      </c:lineChart>
      <c:catAx>
        <c:axId val="1381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3216"/>
        <c:crosses val="autoZero"/>
        <c:auto val="1"/>
        <c:lblAlgn val="ctr"/>
        <c:lblOffset val="100"/>
        <c:noMultiLvlLbl val="0"/>
      </c:catAx>
      <c:valAx>
        <c:axId val="13813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4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Pivots!$N$177</c:f>
              <c:strCache>
                <c:ptCount val="1"/>
                <c:pt idx="0">
                  <c:v>Total</c:v>
                </c:pt>
              </c:strCache>
            </c:strRef>
          </c:tx>
          <c:spPr>
            <a:solidFill>
              <a:schemeClr val="accent1"/>
            </a:solidFill>
            <a:ln>
              <a:noFill/>
            </a:ln>
            <a:effectLst/>
          </c:spPr>
          <c:invertIfNegative val="0"/>
          <c:cat>
            <c:strRef>
              <c:f>Pivots!$M$178:$M$206</c:f>
              <c:strCache>
                <c:ptCount val="28"/>
                <c:pt idx="0">
                  <c:v>Toyota Camry</c:v>
                </c:pt>
                <c:pt idx="1">
                  <c:v>Honda Civic</c:v>
                </c:pt>
                <c:pt idx="2">
                  <c:v>Hyundai Elantra</c:v>
                </c:pt>
                <c:pt idx="3">
                  <c:v>Toyota Hiace</c:v>
                </c:pt>
                <c:pt idx="4">
                  <c:v>Tesla Model 3 or Similar</c:v>
                </c:pt>
                <c:pt idx="5">
                  <c:v>Honda CR-V</c:v>
                </c:pt>
                <c:pt idx="6">
                  <c:v>BMW 5 Series</c:v>
                </c:pt>
                <c:pt idx="7">
                  <c:v>Mazda 3</c:v>
                </c:pt>
                <c:pt idx="8">
                  <c:v>Nissan Leaf</c:v>
                </c:pt>
                <c:pt idx="9">
                  <c:v>Ford Everest</c:v>
                </c:pt>
                <c:pt idx="10">
                  <c:v>Nissan Urvan</c:v>
                </c:pt>
                <c:pt idx="11">
                  <c:v>Audi A6</c:v>
                </c:pt>
                <c:pt idx="12">
                  <c:v>Toyota Vios</c:v>
                </c:pt>
                <c:pt idx="13">
                  <c:v>Mercedes-Benz E-Class</c:v>
                </c:pt>
                <c:pt idx="14">
                  <c:v>Mitsubishi Montero Sport</c:v>
                </c:pt>
                <c:pt idx="15">
                  <c:v>Toyota Corolla</c:v>
                </c:pt>
                <c:pt idx="16">
                  <c:v>Jeep Wrangler</c:v>
                </c:pt>
                <c:pt idx="17">
                  <c:v>Honda Accord</c:v>
                </c:pt>
                <c:pt idx="18">
                  <c:v>Mazda CX-5</c:v>
                </c:pt>
                <c:pt idx="19">
                  <c:v>Nissan Altima</c:v>
                </c:pt>
                <c:pt idx="20">
                  <c:v>Volkswagen Jetta</c:v>
                </c:pt>
                <c:pt idx="21">
                  <c:v>BMW 3 Series</c:v>
                </c:pt>
                <c:pt idx="22">
                  <c:v>Chevrolet Malibu</c:v>
                </c:pt>
                <c:pt idx="23">
                  <c:v>Kia Optima</c:v>
                </c:pt>
                <c:pt idx="24">
                  <c:v>Mercedes-Benz C-Class</c:v>
                </c:pt>
                <c:pt idx="25">
                  <c:v>Audi A4</c:v>
                </c:pt>
                <c:pt idx="26">
                  <c:v>Ford Mustang</c:v>
                </c:pt>
                <c:pt idx="27">
                  <c:v>Tesla Model 3</c:v>
                </c:pt>
              </c:strCache>
            </c:strRef>
          </c:cat>
          <c:val>
            <c:numRef>
              <c:f>Pivots!$N$178:$N$206</c:f>
              <c:numCache>
                <c:formatCode>General</c:formatCode>
                <c:ptCount val="28"/>
                <c:pt idx="0">
                  <c:v>20</c:v>
                </c:pt>
                <c:pt idx="1">
                  <c:v>18</c:v>
                </c:pt>
                <c:pt idx="2">
                  <c:v>15</c:v>
                </c:pt>
                <c:pt idx="3">
                  <c:v>13</c:v>
                </c:pt>
                <c:pt idx="4">
                  <c:v>12</c:v>
                </c:pt>
                <c:pt idx="5">
                  <c:v>12</c:v>
                </c:pt>
                <c:pt idx="6">
                  <c:v>11</c:v>
                </c:pt>
                <c:pt idx="7">
                  <c:v>9</c:v>
                </c:pt>
                <c:pt idx="8">
                  <c:v>8</c:v>
                </c:pt>
                <c:pt idx="9">
                  <c:v>8</c:v>
                </c:pt>
                <c:pt idx="10">
                  <c:v>8</c:v>
                </c:pt>
                <c:pt idx="11">
                  <c:v>8</c:v>
                </c:pt>
                <c:pt idx="12">
                  <c:v>8</c:v>
                </c:pt>
                <c:pt idx="13">
                  <c:v>8</c:v>
                </c:pt>
                <c:pt idx="14">
                  <c:v>8</c:v>
                </c:pt>
                <c:pt idx="15">
                  <c:v>7</c:v>
                </c:pt>
                <c:pt idx="16">
                  <c:v>7</c:v>
                </c:pt>
                <c:pt idx="17">
                  <c:v>7</c:v>
                </c:pt>
                <c:pt idx="18">
                  <c:v>7</c:v>
                </c:pt>
                <c:pt idx="19">
                  <c:v>7</c:v>
                </c:pt>
                <c:pt idx="20">
                  <c:v>6</c:v>
                </c:pt>
                <c:pt idx="21">
                  <c:v>6</c:v>
                </c:pt>
                <c:pt idx="22">
                  <c:v>6</c:v>
                </c:pt>
                <c:pt idx="23">
                  <c:v>4</c:v>
                </c:pt>
                <c:pt idx="24">
                  <c:v>3</c:v>
                </c:pt>
                <c:pt idx="25">
                  <c:v>3</c:v>
                </c:pt>
                <c:pt idx="26">
                  <c:v>2</c:v>
                </c:pt>
                <c:pt idx="27">
                  <c:v>2</c:v>
                </c:pt>
              </c:numCache>
            </c:numRef>
          </c:val>
          <c:extLst>
            <c:ext xmlns:c16="http://schemas.microsoft.com/office/drawing/2014/chart" uri="{C3380CC4-5D6E-409C-BE32-E72D297353CC}">
              <c16:uniqueId val="{00000000-1C3D-4D55-94A9-D21754408757}"/>
            </c:ext>
          </c:extLst>
        </c:ser>
        <c:dLbls>
          <c:showLegendKey val="0"/>
          <c:showVal val="0"/>
          <c:showCatName val="0"/>
          <c:showSerName val="0"/>
          <c:showPercent val="0"/>
          <c:showBubbleSize val="0"/>
        </c:dLbls>
        <c:gapWidth val="150"/>
        <c:overlap val="100"/>
        <c:axId val="1589237023"/>
        <c:axId val="1589241343"/>
      </c:barChart>
      <c:catAx>
        <c:axId val="158923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41343"/>
        <c:crosses val="autoZero"/>
        <c:auto val="1"/>
        <c:lblAlgn val="ctr"/>
        <c:lblOffset val="100"/>
        <c:noMultiLvlLbl val="0"/>
      </c:catAx>
      <c:valAx>
        <c:axId val="158924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Cancelled vs completed Rents</a:t>
            </a:r>
          </a:p>
        </c:rich>
      </c:tx>
      <c:layout>
        <c:manualLayout>
          <c:xMode val="edge"/>
          <c:yMode val="edge"/>
          <c:x val="0.19057438044963482"/>
          <c:y val="2.9428414979508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solidFill>
          <a:schemeClr val="accent3">
            <a:lumMod val="60000"/>
            <a:lumOff val="40000"/>
          </a:schemeClr>
        </a:solidFill>
        <a:ln>
          <a:noFill/>
        </a:ln>
        <a:effectLst/>
        <a:sp3d/>
      </c:spPr>
    </c:sideWall>
    <c:backWall>
      <c:thickness val="0"/>
      <c:spPr>
        <a:solidFill>
          <a:schemeClr val="accent3">
            <a:lumMod val="60000"/>
            <a:lumOff val="40000"/>
          </a:schemeClr>
        </a:solidFill>
        <a:ln>
          <a:noFill/>
        </a:ln>
        <a:effectLst/>
        <a:sp3d/>
      </c:spPr>
    </c:backWall>
    <c:plotArea>
      <c:layout>
        <c:manualLayout>
          <c:layoutTarget val="inner"/>
          <c:xMode val="edge"/>
          <c:yMode val="edge"/>
          <c:x val="0.11969604922980133"/>
          <c:y val="8.5264383249956235E-2"/>
          <c:w val="0.82537261493998648"/>
          <c:h val="0.86830280899679768"/>
        </c:manualLayout>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7-DA85-4140-A852-D80287258F67}"/>
              </c:ext>
            </c:extLst>
          </c:dPt>
          <c:cat>
            <c:strRef>
              <c:f>Pivots!$N$30:$P$30</c:f>
              <c:strCache>
                <c:ptCount val="3"/>
                <c:pt idx="0">
                  <c:v>Cancelled</c:v>
                </c:pt>
                <c:pt idx="1">
                  <c:v>vs </c:v>
                </c:pt>
                <c:pt idx="2">
                  <c:v>Completed</c:v>
                </c:pt>
              </c:strCache>
            </c:strRef>
          </c:cat>
          <c:val>
            <c:numRef>
              <c:f>Pivots!$N$31:$P$31</c:f>
              <c:numCache>
                <c:formatCode>General</c:formatCode>
                <c:ptCount val="3"/>
                <c:pt idx="0">
                  <c:v>10</c:v>
                </c:pt>
                <c:pt idx="2">
                  <c:v>48</c:v>
                </c:pt>
              </c:numCache>
            </c:numRef>
          </c:val>
          <c:extLst>
            <c:ext xmlns:c16="http://schemas.microsoft.com/office/drawing/2014/chart" uri="{C3380CC4-5D6E-409C-BE32-E72D297353CC}">
              <c16:uniqueId val="{00000000-DA85-4140-A852-D80287258F67}"/>
            </c:ext>
          </c:extLst>
        </c:ser>
        <c:dLbls>
          <c:showLegendKey val="0"/>
          <c:showVal val="0"/>
          <c:showCatName val="0"/>
          <c:showSerName val="0"/>
          <c:showPercent val="0"/>
          <c:showBubbleSize val="0"/>
        </c:dLbls>
        <c:gapWidth val="150"/>
        <c:shape val="box"/>
        <c:axId val="2125640223"/>
        <c:axId val="2125633023"/>
        <c:axId val="0"/>
      </c:bar3DChart>
      <c:catAx>
        <c:axId val="2125640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33023"/>
        <c:crosses val="autoZero"/>
        <c:auto val="1"/>
        <c:lblAlgn val="ctr"/>
        <c:lblOffset val="100"/>
        <c:noMultiLvlLbl val="0"/>
      </c:catAx>
      <c:valAx>
        <c:axId val="212563302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 car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225666966094768E-2"/>
          <c:y val="7.639849067880404E-2"/>
          <c:w val="0.90286351706036749"/>
          <c:h val="0.8416746864975212"/>
        </c:manualLayout>
      </c:layout>
      <c:bar3DChart>
        <c:barDir val="col"/>
        <c:grouping val="clustered"/>
        <c:varyColors val="0"/>
        <c:ser>
          <c:idx val="0"/>
          <c:order val="0"/>
          <c:spPr>
            <a:solidFill>
              <a:schemeClr val="accent1"/>
            </a:solidFill>
            <a:ln>
              <a:noFill/>
            </a:ln>
            <a:effectLst/>
            <a:sp3d/>
          </c:spPr>
          <c:invertIfNegative val="0"/>
          <c:cat>
            <c:strRef>
              <c:f>Pivots!$L$53:$R$53</c:f>
              <c:strCache>
                <c:ptCount val="7"/>
                <c:pt idx="0">
                  <c:v>Compact</c:v>
                </c:pt>
                <c:pt idx="1">
                  <c:v>Electric</c:v>
                </c:pt>
                <c:pt idx="2">
                  <c:v>Luxury</c:v>
                </c:pt>
                <c:pt idx="3">
                  <c:v>Sedan</c:v>
                </c:pt>
                <c:pt idx="4">
                  <c:v>Sports</c:v>
                </c:pt>
                <c:pt idx="5">
                  <c:v>SUV</c:v>
                </c:pt>
                <c:pt idx="6">
                  <c:v>Van</c:v>
                </c:pt>
              </c:strCache>
            </c:strRef>
          </c:cat>
          <c:val>
            <c:numRef>
              <c:f>Pivots!$L$54:$R$54</c:f>
              <c:numCache>
                <c:formatCode>General</c:formatCode>
                <c:ptCount val="7"/>
                <c:pt idx="0">
                  <c:v>7</c:v>
                </c:pt>
                <c:pt idx="1">
                  <c:v>6</c:v>
                </c:pt>
                <c:pt idx="2">
                  <c:v>11</c:v>
                </c:pt>
                <c:pt idx="3">
                  <c:v>22</c:v>
                </c:pt>
                <c:pt idx="4">
                  <c:v>1</c:v>
                </c:pt>
                <c:pt idx="5">
                  <c:v>11</c:v>
                </c:pt>
                <c:pt idx="6">
                  <c:v>5</c:v>
                </c:pt>
              </c:numCache>
            </c:numRef>
          </c:val>
          <c:extLst>
            <c:ext xmlns:c16="http://schemas.microsoft.com/office/drawing/2014/chart" uri="{C3380CC4-5D6E-409C-BE32-E72D297353CC}">
              <c16:uniqueId val="{00000000-9DD2-4C63-84F1-ABD1E628CBE5}"/>
            </c:ext>
          </c:extLst>
        </c:ser>
        <c:dLbls>
          <c:showLegendKey val="0"/>
          <c:showVal val="0"/>
          <c:showCatName val="0"/>
          <c:showSerName val="0"/>
          <c:showPercent val="0"/>
          <c:showBubbleSize val="0"/>
        </c:dLbls>
        <c:gapWidth val="219"/>
        <c:shape val="box"/>
        <c:axId val="1532283951"/>
        <c:axId val="1532275311"/>
        <c:axId val="0"/>
      </c:bar3DChart>
      <c:catAx>
        <c:axId val="153228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75311"/>
        <c:crosses val="autoZero"/>
        <c:auto val="1"/>
        <c:lblAlgn val="ctr"/>
        <c:lblOffset val="100"/>
        <c:noMultiLvlLbl val="0"/>
      </c:catAx>
      <c:valAx>
        <c:axId val="153227531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8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[ODBC.xlsx]Pivots!PivotTable19</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a:t>
            </a:r>
            <a:r>
              <a:rPr lang="en-PH" baseline="0"/>
              <a:t> renters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solidFill>
              <a:schemeClr val="accent6"/>
            </a:solidFill>
          </a:ln>
          <a:effectLst/>
        </c:spPr>
      </c:pivotFmt>
    </c:pivotFmts>
    <c:plotArea>
      <c:layout/>
      <c:barChart>
        <c:barDir val="bar"/>
        <c:grouping val="clustered"/>
        <c:varyColors val="0"/>
        <c:ser>
          <c:idx val="0"/>
          <c:order val="0"/>
          <c:tx>
            <c:strRef>
              <c:f>Pivots!$Y$19:$Y$20</c:f>
              <c:strCache>
                <c:ptCount val="1"/>
                <c:pt idx="0">
                  <c:v>Compact</c:v>
                </c:pt>
              </c:strCache>
            </c:strRef>
          </c:tx>
          <c:spPr>
            <a:solidFill>
              <a:schemeClr val="accent2"/>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Pivots!$Y$21:$Y$63</c:f>
              <c:numCache>
                <c:formatCode>General</c:formatCode>
                <c:ptCount val="42"/>
                <c:pt idx="2">
                  <c:v>1</c:v>
                </c:pt>
                <c:pt idx="4">
                  <c:v>1</c:v>
                </c:pt>
                <c:pt idx="5">
                  <c:v>1</c:v>
                </c:pt>
                <c:pt idx="8">
                  <c:v>1</c:v>
                </c:pt>
                <c:pt idx="13">
                  <c:v>1</c:v>
                </c:pt>
                <c:pt idx="20">
                  <c:v>1</c:v>
                </c:pt>
                <c:pt idx="22">
                  <c:v>1</c:v>
                </c:pt>
              </c:numCache>
            </c:numRef>
          </c:val>
          <c:extLst>
            <c:ext xmlns:c16="http://schemas.microsoft.com/office/drawing/2014/chart" uri="{C3380CC4-5D6E-409C-BE32-E72D297353CC}">
              <c16:uniqueId val="{00000000-220F-413A-9DB4-36171510FEAE}"/>
            </c:ext>
          </c:extLst>
        </c:ser>
        <c:ser>
          <c:idx val="1"/>
          <c:order val="1"/>
          <c:tx>
            <c:strRef>
              <c:f>Pivots!$Z$19:$Z$20</c:f>
              <c:strCache>
                <c:ptCount val="1"/>
                <c:pt idx="0">
                  <c:v>Electric</c:v>
                </c:pt>
              </c:strCache>
            </c:strRef>
          </c:tx>
          <c:spPr>
            <a:solidFill>
              <a:schemeClr val="accent4"/>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Pivots!$Z$21:$Z$63</c:f>
              <c:numCache>
                <c:formatCode>General</c:formatCode>
                <c:ptCount val="42"/>
                <c:pt idx="0">
                  <c:v>1</c:v>
                </c:pt>
                <c:pt idx="1">
                  <c:v>1</c:v>
                </c:pt>
                <c:pt idx="11">
                  <c:v>1</c:v>
                </c:pt>
                <c:pt idx="16">
                  <c:v>1</c:v>
                </c:pt>
                <c:pt idx="28">
                  <c:v>1</c:v>
                </c:pt>
                <c:pt idx="33">
                  <c:v>1</c:v>
                </c:pt>
              </c:numCache>
            </c:numRef>
          </c:val>
          <c:extLst>
            <c:ext xmlns:c16="http://schemas.microsoft.com/office/drawing/2014/chart" uri="{C3380CC4-5D6E-409C-BE32-E72D297353CC}">
              <c16:uniqueId val="{0000001E-220F-413A-9DB4-36171510FEAE}"/>
            </c:ext>
          </c:extLst>
        </c:ser>
        <c:ser>
          <c:idx val="2"/>
          <c:order val="2"/>
          <c:tx>
            <c:strRef>
              <c:f>Pivots!$AA$19:$AA$20</c:f>
              <c:strCache>
                <c:ptCount val="1"/>
                <c:pt idx="0">
                  <c:v>Luxury</c:v>
                </c:pt>
              </c:strCache>
            </c:strRef>
          </c:tx>
          <c:spPr>
            <a:solidFill>
              <a:schemeClr val="accent6"/>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Pivots!$AA$21:$AA$63</c:f>
              <c:numCache>
                <c:formatCode>General</c:formatCode>
                <c:ptCount val="42"/>
                <c:pt idx="9">
                  <c:v>1</c:v>
                </c:pt>
                <c:pt idx="10">
                  <c:v>1</c:v>
                </c:pt>
                <c:pt idx="12">
                  <c:v>1</c:v>
                </c:pt>
                <c:pt idx="15">
                  <c:v>1</c:v>
                </c:pt>
                <c:pt idx="17">
                  <c:v>1</c:v>
                </c:pt>
                <c:pt idx="23">
                  <c:v>1</c:v>
                </c:pt>
                <c:pt idx="24">
                  <c:v>1</c:v>
                </c:pt>
                <c:pt idx="33">
                  <c:v>2</c:v>
                </c:pt>
                <c:pt idx="38">
                  <c:v>1</c:v>
                </c:pt>
                <c:pt idx="39">
                  <c:v>1</c:v>
                </c:pt>
              </c:numCache>
            </c:numRef>
          </c:val>
          <c:extLst>
            <c:ext xmlns:c16="http://schemas.microsoft.com/office/drawing/2014/chart" uri="{C3380CC4-5D6E-409C-BE32-E72D297353CC}">
              <c16:uniqueId val="{0000001F-220F-413A-9DB4-36171510FEAE}"/>
            </c:ext>
          </c:extLst>
        </c:ser>
        <c:ser>
          <c:idx val="3"/>
          <c:order val="3"/>
          <c:tx>
            <c:strRef>
              <c:f>Pivots!$AB$19:$AB$20</c:f>
              <c:strCache>
                <c:ptCount val="1"/>
                <c:pt idx="0">
                  <c:v>Sedan</c:v>
                </c:pt>
              </c:strCache>
            </c:strRef>
          </c:tx>
          <c:spPr>
            <a:solidFill>
              <a:schemeClr val="accent2">
                <a:lumMod val="60000"/>
              </a:schemeClr>
            </a:solidFill>
            <a:ln>
              <a:noFill/>
            </a:ln>
            <a:effectLst/>
          </c:spPr>
          <c:invertIfNegative val="0"/>
          <c:dPt>
            <c:idx val="41"/>
            <c:invertIfNegative val="0"/>
            <c:bubble3D val="0"/>
            <c:spPr>
              <a:solidFill>
                <a:schemeClr val="accent2">
                  <a:lumMod val="60000"/>
                </a:schemeClr>
              </a:solidFill>
              <a:ln>
                <a:solidFill>
                  <a:schemeClr val="accent6"/>
                </a:solidFill>
              </a:ln>
              <a:effectLst/>
            </c:spPr>
          </c:dPt>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Pivots!$AB$21:$AB$63</c:f>
              <c:numCache>
                <c:formatCode>General</c:formatCode>
                <c:ptCount val="42"/>
                <c:pt idx="30">
                  <c:v>1</c:v>
                </c:pt>
                <c:pt idx="31">
                  <c:v>1</c:v>
                </c:pt>
                <c:pt idx="32">
                  <c:v>1</c:v>
                </c:pt>
                <c:pt idx="33">
                  <c:v>1</c:v>
                </c:pt>
                <c:pt idx="34">
                  <c:v>1</c:v>
                </c:pt>
                <c:pt idx="35">
                  <c:v>1</c:v>
                </c:pt>
                <c:pt idx="36">
                  <c:v>1</c:v>
                </c:pt>
                <c:pt idx="37">
                  <c:v>1</c:v>
                </c:pt>
                <c:pt idx="38">
                  <c:v>3</c:v>
                </c:pt>
                <c:pt idx="39">
                  <c:v>3</c:v>
                </c:pt>
                <c:pt idx="40">
                  <c:v>4</c:v>
                </c:pt>
                <c:pt idx="41">
                  <c:v>4</c:v>
                </c:pt>
              </c:numCache>
            </c:numRef>
          </c:val>
          <c:extLst>
            <c:ext xmlns:c16="http://schemas.microsoft.com/office/drawing/2014/chart" uri="{C3380CC4-5D6E-409C-BE32-E72D297353CC}">
              <c16:uniqueId val="{00000031-220F-413A-9DB4-36171510FEAE}"/>
            </c:ext>
          </c:extLst>
        </c:ser>
        <c:ser>
          <c:idx val="4"/>
          <c:order val="4"/>
          <c:tx>
            <c:strRef>
              <c:f>Pivots!$AC$19:$AC$20</c:f>
              <c:strCache>
                <c:ptCount val="1"/>
                <c:pt idx="0">
                  <c:v>Sports</c:v>
                </c:pt>
              </c:strCache>
            </c:strRef>
          </c:tx>
          <c:spPr>
            <a:solidFill>
              <a:schemeClr val="accent4">
                <a:lumMod val="60000"/>
              </a:schemeClr>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Pivots!$AC$21:$AC$63</c:f>
              <c:numCache>
                <c:formatCode>General</c:formatCode>
                <c:ptCount val="42"/>
                <c:pt idx="38">
                  <c:v>1</c:v>
                </c:pt>
              </c:numCache>
            </c:numRef>
          </c:val>
          <c:extLst>
            <c:ext xmlns:c16="http://schemas.microsoft.com/office/drawing/2014/chart" uri="{C3380CC4-5D6E-409C-BE32-E72D297353CC}">
              <c16:uniqueId val="{00000032-220F-413A-9DB4-36171510FEAE}"/>
            </c:ext>
          </c:extLst>
        </c:ser>
        <c:ser>
          <c:idx val="5"/>
          <c:order val="5"/>
          <c:tx>
            <c:strRef>
              <c:f>Pivots!$AD$19:$AD$20</c:f>
              <c:strCache>
                <c:ptCount val="1"/>
                <c:pt idx="0">
                  <c:v>SUV</c:v>
                </c:pt>
              </c:strCache>
            </c:strRef>
          </c:tx>
          <c:spPr>
            <a:solidFill>
              <a:schemeClr val="accent6">
                <a:lumMod val="60000"/>
              </a:schemeClr>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Pivots!$AD$21:$AD$63</c:f>
              <c:numCache>
                <c:formatCode>General</c:formatCode>
                <c:ptCount val="42"/>
                <c:pt idx="3">
                  <c:v>1</c:v>
                </c:pt>
                <c:pt idx="14">
                  <c:v>1</c:v>
                </c:pt>
                <c:pt idx="18">
                  <c:v>1</c:v>
                </c:pt>
                <c:pt idx="19">
                  <c:v>1</c:v>
                </c:pt>
                <c:pt idx="27">
                  <c:v>1</c:v>
                </c:pt>
                <c:pt idx="29">
                  <c:v>1</c:v>
                </c:pt>
                <c:pt idx="33">
                  <c:v>1</c:v>
                </c:pt>
                <c:pt idx="38">
                  <c:v>1</c:v>
                </c:pt>
                <c:pt idx="39">
                  <c:v>1</c:v>
                </c:pt>
                <c:pt idx="40">
                  <c:v>1</c:v>
                </c:pt>
                <c:pt idx="41">
                  <c:v>1</c:v>
                </c:pt>
              </c:numCache>
            </c:numRef>
          </c:val>
          <c:extLst>
            <c:ext xmlns:c16="http://schemas.microsoft.com/office/drawing/2014/chart" uri="{C3380CC4-5D6E-409C-BE32-E72D297353CC}">
              <c16:uniqueId val="{00000033-220F-413A-9DB4-36171510FEAE}"/>
            </c:ext>
          </c:extLst>
        </c:ser>
        <c:ser>
          <c:idx val="6"/>
          <c:order val="6"/>
          <c:tx>
            <c:strRef>
              <c:f>Pivots!$AE$19:$AE$20</c:f>
              <c:strCache>
                <c:ptCount val="1"/>
                <c:pt idx="0">
                  <c:v>Van</c:v>
                </c:pt>
              </c:strCache>
            </c:strRef>
          </c:tx>
          <c:spPr>
            <a:solidFill>
              <a:schemeClr val="accent2">
                <a:lumMod val="80000"/>
                <a:lumOff val="20000"/>
              </a:schemeClr>
            </a:solidFill>
            <a:ln>
              <a:noFill/>
            </a:ln>
            <a:effectLst/>
          </c:spPr>
          <c:invertIfNegative val="0"/>
          <c:cat>
            <c:strRef>
              <c:f>Pivots!$X$21:$X$63</c:f>
              <c:strCache>
                <c:ptCount val="42"/>
                <c:pt idx="0">
                  <c:v>Laura Thompson</c:v>
                </c:pt>
                <c:pt idx="1">
                  <c:v>Lisa Tan</c:v>
                </c:pt>
                <c:pt idx="2">
                  <c:v>Ana Reyes</c:v>
                </c:pt>
                <c:pt idx="3">
                  <c:v>Timothy Robinson</c:v>
                </c:pt>
                <c:pt idx="4">
                  <c:v>test3</c:v>
                </c:pt>
                <c:pt idx="5">
                  <c:v>Andrew Martin</c:v>
                </c:pt>
                <c:pt idx="6">
                  <c:v>Carlos Garcia</c:v>
                </c:pt>
                <c:pt idx="7">
                  <c:v>Christopher Thomas</c:v>
                </c:pt>
                <c:pt idx="8">
                  <c:v>test2</c:v>
                </c:pt>
                <c:pt idx="9">
                  <c:v>Michelle Jackson</c:v>
                </c:pt>
                <c:pt idx="10">
                  <c:v>David Wong</c:v>
                </c:pt>
                <c:pt idx="11">
                  <c:v>Nicole Anderson</c:v>
                </c:pt>
                <c:pt idx="12">
                  <c:v>Gregory Lewis</c:v>
                </c:pt>
                <c:pt idx="13">
                  <c:v>p</c:v>
                </c:pt>
                <c:pt idx="14">
                  <c:v>James Lee</c:v>
                </c:pt>
                <c:pt idx="15">
                  <c:v>Patrick Garcia</c:v>
                </c:pt>
                <c:pt idx="16">
                  <c:v>Kimberly Walker</c:v>
                </c:pt>
                <c:pt idx="17">
                  <c:v>Pedro Cruz</c:v>
                </c:pt>
                <c:pt idx="18">
                  <c:v>Brian Taylor</c:v>
                </c:pt>
                <c:pt idx="19">
                  <c:v>Rachel Harris</c:v>
                </c:pt>
                <c:pt idx="20">
                  <c:v>Elena Rivera</c:v>
                </c:pt>
                <c:pt idx="21">
                  <c:v>Robert Kim</c:v>
                </c:pt>
                <c:pt idx="22">
                  <c:v>Kevin Brown</c:v>
                </c:pt>
                <c:pt idx="23">
                  <c:v>Ryan Miller</c:v>
                </c:pt>
                <c:pt idx="24">
                  <c:v>Daniel Chen</c:v>
                </c:pt>
                <c:pt idx="25">
                  <c:v>Samantha Clark</c:v>
                </c:pt>
                <c:pt idx="26">
                  <c:v>Amanda Davis</c:v>
                </c:pt>
                <c:pt idx="27">
                  <c:v>Sarah Williams</c:v>
                </c:pt>
                <c:pt idx="28">
                  <c:v>Isabel Ramos</c:v>
                </c:pt>
                <c:pt idx="29">
                  <c:v>Sofia Martinez</c:v>
                </c:pt>
                <c:pt idx="30">
                  <c:v>Mark Johnson</c:v>
                </c:pt>
                <c:pt idx="31">
                  <c:v>John Doe</c:v>
                </c:pt>
                <c:pt idx="32">
                  <c:v>Jennifer Martinez</c:v>
                </c:pt>
                <c:pt idx="33">
                  <c:v>Pedro Reyes</c:v>
                </c:pt>
                <c:pt idx="34">
                  <c:v>Jessica Moore</c:v>
                </c:pt>
                <c:pt idx="35">
                  <c:v>Steven White</c:v>
                </c:pt>
                <c:pt idx="36">
                  <c:v>Carmen Flores</c:v>
                </c:pt>
                <c:pt idx="37">
                  <c:v>Miguel Lopez</c:v>
                </c:pt>
                <c:pt idx="38">
                  <c:v>Maria Santos</c:v>
                </c:pt>
                <c:pt idx="39">
                  <c:v>Ramon Cruz</c:v>
                </c:pt>
                <c:pt idx="40">
                  <c:v>Ana Garcia</c:v>
                </c:pt>
                <c:pt idx="41">
                  <c:v>Juan Dela Cruz</c:v>
                </c:pt>
              </c:strCache>
            </c:strRef>
          </c:cat>
          <c:val>
            <c:numRef>
              <c:f>Pivots!$AE$21:$AE$63</c:f>
              <c:numCache>
                <c:formatCode>General</c:formatCode>
                <c:ptCount val="42"/>
                <c:pt idx="6">
                  <c:v>1</c:v>
                </c:pt>
                <c:pt idx="7">
                  <c:v>1</c:v>
                </c:pt>
                <c:pt idx="21">
                  <c:v>1</c:v>
                </c:pt>
                <c:pt idx="25">
                  <c:v>1</c:v>
                </c:pt>
                <c:pt idx="26">
                  <c:v>1</c:v>
                </c:pt>
              </c:numCache>
            </c:numRef>
          </c:val>
          <c:extLst>
            <c:ext xmlns:c16="http://schemas.microsoft.com/office/drawing/2014/chart" uri="{C3380CC4-5D6E-409C-BE32-E72D297353CC}">
              <c16:uniqueId val="{00000034-220F-413A-9DB4-36171510FEAE}"/>
            </c:ext>
          </c:extLst>
        </c:ser>
        <c:dLbls>
          <c:dLblPos val="outEnd"/>
          <c:showLegendKey val="0"/>
          <c:showVal val="0"/>
          <c:showCatName val="0"/>
          <c:showSerName val="0"/>
          <c:showPercent val="0"/>
          <c:showBubbleSize val="0"/>
        </c:dLbls>
        <c:gapWidth val="172"/>
        <c:axId val="1589259103"/>
        <c:axId val="1589232223"/>
      </c:barChart>
      <c:catAx>
        <c:axId val="158925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32223"/>
        <c:crosses val="autoZero"/>
        <c:auto val="1"/>
        <c:lblAlgn val="ctr"/>
        <c:lblOffset val="100"/>
        <c:noMultiLvlLbl val="0"/>
      </c:catAx>
      <c:valAx>
        <c:axId val="1589232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5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Most pick up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sq" cmpd="dbl">
            <a:solidFill>
              <a:schemeClr val="accent6"/>
            </a:solidFill>
            <a:prstDash val="solid"/>
            <a:miter lim="800000"/>
            <a:headEnd type="triangle"/>
            <a:tailEnd type="diamo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Pivots!$B$102:$B$103</c:f>
              <c:strCache>
                <c:ptCount val="1"/>
                <c:pt idx="0">
                  <c:v>Active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Pivots!$A$104:$A$125</c:f>
              <c:strCache>
                <c:ptCount val="21"/>
                <c:pt idx="0">
                  <c:v>Manila Office</c:v>
                </c:pt>
                <c:pt idx="1">
                  <c:v>Quezon City Branch</c:v>
                </c:pt>
                <c:pt idx="2">
                  <c:v>Pasig Branch</c:v>
                </c:pt>
                <c:pt idx="3">
                  <c:v>Makati Branch</c:v>
                </c:pt>
                <c:pt idx="4">
                  <c:v>Taguig Branch</c:v>
                </c:pt>
                <c:pt idx="5">
                  <c:v>MNL - Manila Ninoy Aquino International Airport</c:v>
                </c:pt>
                <c:pt idx="6">
                  <c:v>Pasay City - Mall of Asia</c:v>
                </c:pt>
                <c:pt idx="7">
                  <c:v>Any Hotel in Metro Manila (Hotel Delivery)</c:v>
                </c:pt>
                <c:pt idx="8">
                  <c:v>Quezon City - Cubao</c:v>
                </c:pt>
                <c:pt idx="9">
                  <c:v>Makati City Center</c:v>
                </c:pt>
                <c:pt idx="10">
                  <c:v>Bonifacio Global City (BGC)</c:v>
                </c:pt>
                <c:pt idx="11">
                  <c:v>Solaire Resort &amp; Casino</c:v>
                </c:pt>
                <c:pt idx="12">
                  <c:v>DVO - Francisco Bangoy International Airport</c:v>
                </c:pt>
                <c:pt idx="13">
                  <c:v>Mandaluyong City - Ortigas Center</c:v>
                </c:pt>
                <c:pt idx="14">
                  <c:v>LRT Buendia Station</c:v>
                </c:pt>
                <c:pt idx="15">
                  <c:v>Shangri-La Hotel</c:v>
                </c:pt>
                <c:pt idx="16">
                  <c:v>CEB - Mactan-Cebu International Airport</c:v>
                </c:pt>
                <c:pt idx="17">
                  <c:v>MRT Ayala Station</c:v>
                </c:pt>
                <c:pt idx="18">
                  <c:v>CRK - Clark International Airport</c:v>
                </c:pt>
                <c:pt idx="19">
                  <c:v>Okada Manila</c:v>
                </c:pt>
                <c:pt idx="20">
                  <c:v>MRT Taft Station</c:v>
                </c:pt>
              </c:strCache>
            </c:strRef>
          </c:cat>
          <c:val>
            <c:numRef>
              <c:f>Pivots!$B$104:$B$125</c:f>
              <c:numCache>
                <c:formatCode>General</c:formatCode>
                <c:ptCount val="21"/>
                <c:pt idx="6">
                  <c:v>1</c:v>
                </c:pt>
                <c:pt idx="9">
                  <c:v>1</c:v>
                </c:pt>
                <c:pt idx="11">
                  <c:v>1</c:v>
                </c:pt>
                <c:pt idx="15">
                  <c:v>1</c:v>
                </c:pt>
                <c:pt idx="17">
                  <c:v>1</c:v>
                </c:pt>
              </c:numCache>
            </c:numRef>
          </c:val>
          <c:smooth val="0"/>
          <c:extLst>
            <c:ext xmlns:c16="http://schemas.microsoft.com/office/drawing/2014/chart" uri="{C3380CC4-5D6E-409C-BE32-E72D297353CC}">
              <c16:uniqueId val="{00000000-FDD7-4F72-9A8F-BE3BEDBA7CCB}"/>
            </c:ext>
          </c:extLst>
        </c:ser>
        <c:ser>
          <c:idx val="1"/>
          <c:order val="1"/>
          <c:tx>
            <c:strRef>
              <c:f>Pivots!$C$102:$C$103</c:f>
              <c:strCache>
                <c:ptCount val="1"/>
                <c:pt idx="0">
                  <c:v>Cancelled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Pivots!$A$104:$A$125</c:f>
              <c:strCache>
                <c:ptCount val="21"/>
                <c:pt idx="0">
                  <c:v>Manila Office</c:v>
                </c:pt>
                <c:pt idx="1">
                  <c:v>Quezon City Branch</c:v>
                </c:pt>
                <c:pt idx="2">
                  <c:v>Pasig Branch</c:v>
                </c:pt>
                <c:pt idx="3">
                  <c:v>Makati Branch</c:v>
                </c:pt>
                <c:pt idx="4">
                  <c:v>Taguig Branch</c:v>
                </c:pt>
                <c:pt idx="5">
                  <c:v>MNL - Manila Ninoy Aquino International Airport</c:v>
                </c:pt>
                <c:pt idx="6">
                  <c:v>Pasay City - Mall of Asia</c:v>
                </c:pt>
                <c:pt idx="7">
                  <c:v>Any Hotel in Metro Manila (Hotel Delivery)</c:v>
                </c:pt>
                <c:pt idx="8">
                  <c:v>Quezon City - Cubao</c:v>
                </c:pt>
                <c:pt idx="9">
                  <c:v>Makati City Center</c:v>
                </c:pt>
                <c:pt idx="10">
                  <c:v>Bonifacio Global City (BGC)</c:v>
                </c:pt>
                <c:pt idx="11">
                  <c:v>Solaire Resort &amp; Casino</c:v>
                </c:pt>
                <c:pt idx="12">
                  <c:v>DVO - Francisco Bangoy International Airport</c:v>
                </c:pt>
                <c:pt idx="13">
                  <c:v>Mandaluyong City - Ortigas Center</c:v>
                </c:pt>
                <c:pt idx="14">
                  <c:v>LRT Buendia Station</c:v>
                </c:pt>
                <c:pt idx="15">
                  <c:v>Shangri-La Hotel</c:v>
                </c:pt>
                <c:pt idx="16">
                  <c:v>CEB - Mactan-Cebu International Airport</c:v>
                </c:pt>
                <c:pt idx="17">
                  <c:v>MRT Ayala Station</c:v>
                </c:pt>
                <c:pt idx="18">
                  <c:v>CRK - Clark International Airport</c:v>
                </c:pt>
                <c:pt idx="19">
                  <c:v>Okada Manila</c:v>
                </c:pt>
                <c:pt idx="20">
                  <c:v>MRT Taft Station</c:v>
                </c:pt>
              </c:strCache>
            </c:strRef>
          </c:cat>
          <c:val>
            <c:numRef>
              <c:f>Pivots!$C$104:$C$125</c:f>
              <c:numCache>
                <c:formatCode>General</c:formatCode>
                <c:ptCount val="21"/>
                <c:pt idx="5">
                  <c:v>1</c:v>
                </c:pt>
                <c:pt idx="6">
                  <c:v>1</c:v>
                </c:pt>
                <c:pt idx="7">
                  <c:v>1</c:v>
                </c:pt>
                <c:pt idx="8">
                  <c:v>1</c:v>
                </c:pt>
                <c:pt idx="9">
                  <c:v>1</c:v>
                </c:pt>
                <c:pt idx="10">
                  <c:v>2</c:v>
                </c:pt>
                <c:pt idx="12">
                  <c:v>1</c:v>
                </c:pt>
                <c:pt idx="14">
                  <c:v>1</c:v>
                </c:pt>
                <c:pt idx="16">
                  <c:v>1</c:v>
                </c:pt>
              </c:numCache>
            </c:numRef>
          </c:val>
          <c:smooth val="0"/>
          <c:extLst>
            <c:ext xmlns:c16="http://schemas.microsoft.com/office/drawing/2014/chart" uri="{C3380CC4-5D6E-409C-BE32-E72D297353CC}">
              <c16:uniqueId val="{00000023-FDD7-4F72-9A8F-BE3BEDBA7CCB}"/>
            </c:ext>
          </c:extLst>
        </c:ser>
        <c:ser>
          <c:idx val="2"/>
          <c:order val="2"/>
          <c:tx>
            <c:strRef>
              <c:f>Pivots!$D$102:$D$103</c:f>
              <c:strCache>
                <c:ptCount val="1"/>
                <c:pt idx="0">
                  <c:v>Completed</c:v>
                </c:pt>
              </c:strCache>
            </c:strRef>
          </c:tx>
          <c:spPr>
            <a:ln w="28575" cap="sq" cmpd="dbl">
              <a:solidFill>
                <a:schemeClr val="accent6"/>
              </a:solidFill>
              <a:prstDash val="solid"/>
              <a:miter lim="800000"/>
              <a:headEnd type="triangle"/>
              <a:tailEnd type="diamond"/>
            </a:ln>
            <a:effectLst/>
          </c:spPr>
          <c:marker>
            <c:symbol val="circle"/>
            <c:size val="5"/>
            <c:spPr>
              <a:solidFill>
                <a:schemeClr val="accent3"/>
              </a:solidFill>
              <a:ln w="9525">
                <a:solidFill>
                  <a:schemeClr val="accent3"/>
                </a:solidFill>
              </a:ln>
              <a:effectLst/>
            </c:spPr>
          </c:marker>
          <c:cat>
            <c:strRef>
              <c:f>Pivots!$A$104:$A$125</c:f>
              <c:strCache>
                <c:ptCount val="21"/>
                <c:pt idx="0">
                  <c:v>Manila Office</c:v>
                </c:pt>
                <c:pt idx="1">
                  <c:v>Quezon City Branch</c:v>
                </c:pt>
                <c:pt idx="2">
                  <c:v>Pasig Branch</c:v>
                </c:pt>
                <c:pt idx="3">
                  <c:v>Makati Branch</c:v>
                </c:pt>
                <c:pt idx="4">
                  <c:v>Taguig Branch</c:v>
                </c:pt>
                <c:pt idx="5">
                  <c:v>MNL - Manila Ninoy Aquino International Airport</c:v>
                </c:pt>
                <c:pt idx="6">
                  <c:v>Pasay City - Mall of Asia</c:v>
                </c:pt>
                <c:pt idx="7">
                  <c:v>Any Hotel in Metro Manila (Hotel Delivery)</c:v>
                </c:pt>
                <c:pt idx="8">
                  <c:v>Quezon City - Cubao</c:v>
                </c:pt>
                <c:pt idx="9">
                  <c:v>Makati City Center</c:v>
                </c:pt>
                <c:pt idx="10">
                  <c:v>Bonifacio Global City (BGC)</c:v>
                </c:pt>
                <c:pt idx="11">
                  <c:v>Solaire Resort &amp; Casino</c:v>
                </c:pt>
                <c:pt idx="12">
                  <c:v>DVO - Francisco Bangoy International Airport</c:v>
                </c:pt>
                <c:pt idx="13">
                  <c:v>Mandaluyong City - Ortigas Center</c:v>
                </c:pt>
                <c:pt idx="14">
                  <c:v>LRT Buendia Station</c:v>
                </c:pt>
                <c:pt idx="15">
                  <c:v>Shangri-La Hotel</c:v>
                </c:pt>
                <c:pt idx="16">
                  <c:v>CEB - Mactan-Cebu International Airport</c:v>
                </c:pt>
                <c:pt idx="17">
                  <c:v>MRT Ayala Station</c:v>
                </c:pt>
                <c:pt idx="18">
                  <c:v>CRK - Clark International Airport</c:v>
                </c:pt>
                <c:pt idx="19">
                  <c:v>Okada Manila</c:v>
                </c:pt>
                <c:pt idx="20">
                  <c:v>MRT Taft Station</c:v>
                </c:pt>
              </c:strCache>
            </c:strRef>
          </c:cat>
          <c:val>
            <c:numRef>
              <c:f>Pivots!$D$104:$D$125</c:f>
              <c:numCache>
                <c:formatCode>General</c:formatCode>
                <c:ptCount val="21"/>
                <c:pt idx="0">
                  <c:v>6</c:v>
                </c:pt>
                <c:pt idx="1">
                  <c:v>5</c:v>
                </c:pt>
                <c:pt idx="2">
                  <c:v>5</c:v>
                </c:pt>
                <c:pt idx="3">
                  <c:v>5</c:v>
                </c:pt>
                <c:pt idx="4">
                  <c:v>4</c:v>
                </c:pt>
                <c:pt idx="5">
                  <c:v>3</c:v>
                </c:pt>
                <c:pt idx="6">
                  <c:v>1</c:v>
                </c:pt>
                <c:pt idx="7">
                  <c:v>2</c:v>
                </c:pt>
                <c:pt idx="8">
                  <c:v>2</c:v>
                </c:pt>
                <c:pt idx="9">
                  <c:v>1</c:v>
                </c:pt>
                <c:pt idx="10">
                  <c:v>1</c:v>
                </c:pt>
                <c:pt idx="11">
                  <c:v>1</c:v>
                </c:pt>
                <c:pt idx="12">
                  <c:v>1</c:v>
                </c:pt>
                <c:pt idx="13">
                  <c:v>2</c:v>
                </c:pt>
                <c:pt idx="14">
                  <c:v>1</c:v>
                </c:pt>
                <c:pt idx="15">
                  <c:v>1</c:v>
                </c:pt>
                <c:pt idx="16">
                  <c:v>1</c:v>
                </c:pt>
                <c:pt idx="17">
                  <c:v>1</c:v>
                </c:pt>
                <c:pt idx="18">
                  <c:v>2</c:v>
                </c:pt>
                <c:pt idx="19">
                  <c:v>2</c:v>
                </c:pt>
                <c:pt idx="20">
                  <c:v>1</c:v>
                </c:pt>
              </c:numCache>
            </c:numRef>
          </c:val>
          <c:smooth val="0"/>
          <c:extLst>
            <c:ext xmlns:c16="http://schemas.microsoft.com/office/drawing/2014/chart" uri="{C3380CC4-5D6E-409C-BE32-E72D297353CC}">
              <c16:uniqueId val="{00000024-FDD7-4F72-9A8F-BE3BEDBA7CCB}"/>
            </c:ext>
          </c:extLst>
        </c:ser>
        <c:dLbls>
          <c:showLegendKey val="0"/>
          <c:showVal val="0"/>
          <c:showCatName val="0"/>
          <c:showSerName val="0"/>
          <c:showPercent val="0"/>
          <c:showBubbleSize val="0"/>
        </c:dLbls>
        <c:marker val="1"/>
        <c:smooth val="0"/>
        <c:axId val="1633142975"/>
        <c:axId val="1633154975"/>
      </c:lineChart>
      <c:catAx>
        <c:axId val="163314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154975"/>
        <c:crosses val="autoZero"/>
        <c:auto val="1"/>
        <c:lblAlgn val="ctr"/>
        <c:lblOffset val="100"/>
        <c:noMultiLvlLbl val="0"/>
      </c:catAx>
      <c:valAx>
        <c:axId val="16331549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14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Most rented car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Pivots!$B$148:$B$149</c:f>
              <c:strCache>
                <c:ptCount val="1"/>
                <c:pt idx="0">
                  <c:v>Active</c:v>
                </c:pt>
              </c:strCache>
            </c:strRef>
          </c:tx>
          <c:spPr>
            <a:solidFill>
              <a:schemeClr val="accent1"/>
            </a:solidFill>
            <a:ln>
              <a:noFill/>
            </a:ln>
            <a:effectLst/>
          </c:spPr>
          <c:invertIfNegative val="0"/>
          <c:cat>
            <c:strRef>
              <c:f>Pivots!$A$150:$A$178</c:f>
              <c:strCache>
                <c:ptCount val="28"/>
                <c:pt idx="0">
                  <c:v>Honda Civic</c:v>
                </c:pt>
                <c:pt idx="1">
                  <c:v>Toyota Camry</c:v>
                </c:pt>
                <c:pt idx="2">
                  <c:v>Hyundai Elantra</c:v>
                </c:pt>
                <c:pt idx="3">
                  <c:v>BMW 5 Series</c:v>
                </c:pt>
                <c:pt idx="4">
                  <c:v>Tesla Model 3 or Similar</c:v>
                </c:pt>
                <c:pt idx="5">
                  <c:v>Honda CR-V</c:v>
                </c:pt>
                <c:pt idx="6">
                  <c:v>Toyota Hiace</c:v>
                </c:pt>
                <c:pt idx="7">
                  <c:v>Nissan Altima</c:v>
                </c:pt>
                <c:pt idx="8">
                  <c:v>Mercedes-Benz E-Class</c:v>
                </c:pt>
                <c:pt idx="9">
                  <c:v>Nissan Urvan</c:v>
                </c:pt>
                <c:pt idx="10">
                  <c:v>Chevrolet Malibu</c:v>
                </c:pt>
                <c:pt idx="11">
                  <c:v>Mitsubishi Montero Sport</c:v>
                </c:pt>
                <c:pt idx="12">
                  <c:v>Ford Everest</c:v>
                </c:pt>
                <c:pt idx="13">
                  <c:v>Nissan Leaf</c:v>
                </c:pt>
                <c:pt idx="14">
                  <c:v>BMW 3 Series</c:v>
                </c:pt>
                <c:pt idx="15">
                  <c:v>Audi A6</c:v>
                </c:pt>
                <c:pt idx="16">
                  <c:v>Honda Accord</c:v>
                </c:pt>
                <c:pt idx="17">
                  <c:v>Toyota Corolla</c:v>
                </c:pt>
                <c:pt idx="18">
                  <c:v>Toyota Vios</c:v>
                </c:pt>
                <c:pt idx="19">
                  <c:v>Mazda CX-5</c:v>
                </c:pt>
                <c:pt idx="20">
                  <c:v>Volkswagen Jetta</c:v>
                </c:pt>
                <c:pt idx="21">
                  <c:v>Jeep Wrangler</c:v>
                </c:pt>
                <c:pt idx="22">
                  <c:v>Mazda 3</c:v>
                </c:pt>
                <c:pt idx="23">
                  <c:v>Tesla Model 3</c:v>
                </c:pt>
                <c:pt idx="24">
                  <c:v>Ford Mustang</c:v>
                </c:pt>
                <c:pt idx="25">
                  <c:v>Audi A4</c:v>
                </c:pt>
                <c:pt idx="26">
                  <c:v>Mercedes-Benz C-Class</c:v>
                </c:pt>
                <c:pt idx="27">
                  <c:v>Kia Optima</c:v>
                </c:pt>
              </c:strCache>
            </c:strRef>
          </c:cat>
          <c:val>
            <c:numRef>
              <c:f>Pivots!$B$150:$B$178</c:f>
              <c:numCache>
                <c:formatCode>General</c:formatCode>
                <c:ptCount val="28"/>
                <c:pt idx="5">
                  <c:v>1</c:v>
                </c:pt>
                <c:pt idx="6">
                  <c:v>1</c:v>
                </c:pt>
                <c:pt idx="9">
                  <c:v>1</c:v>
                </c:pt>
                <c:pt idx="11">
                  <c:v>1</c:v>
                </c:pt>
                <c:pt idx="13">
                  <c:v>1</c:v>
                </c:pt>
              </c:numCache>
            </c:numRef>
          </c:val>
          <c:extLst>
            <c:ext xmlns:c16="http://schemas.microsoft.com/office/drawing/2014/chart" uri="{C3380CC4-5D6E-409C-BE32-E72D297353CC}">
              <c16:uniqueId val="{00000000-1F26-48A0-A793-E5132A9B175A}"/>
            </c:ext>
          </c:extLst>
        </c:ser>
        <c:ser>
          <c:idx val="1"/>
          <c:order val="1"/>
          <c:tx>
            <c:strRef>
              <c:f>Pivots!$C$148:$C$149</c:f>
              <c:strCache>
                <c:ptCount val="1"/>
                <c:pt idx="0">
                  <c:v>Cancelled</c:v>
                </c:pt>
              </c:strCache>
            </c:strRef>
          </c:tx>
          <c:spPr>
            <a:solidFill>
              <a:schemeClr val="accent2"/>
            </a:solidFill>
            <a:ln>
              <a:noFill/>
            </a:ln>
            <a:effectLst/>
          </c:spPr>
          <c:invertIfNegative val="0"/>
          <c:cat>
            <c:strRef>
              <c:f>Pivots!$A$150:$A$178</c:f>
              <c:strCache>
                <c:ptCount val="28"/>
                <c:pt idx="0">
                  <c:v>Honda Civic</c:v>
                </c:pt>
                <c:pt idx="1">
                  <c:v>Toyota Camry</c:v>
                </c:pt>
                <c:pt idx="2">
                  <c:v>Hyundai Elantra</c:v>
                </c:pt>
                <c:pt idx="3">
                  <c:v>BMW 5 Series</c:v>
                </c:pt>
                <c:pt idx="4">
                  <c:v>Tesla Model 3 or Similar</c:v>
                </c:pt>
                <c:pt idx="5">
                  <c:v>Honda CR-V</c:v>
                </c:pt>
                <c:pt idx="6">
                  <c:v>Toyota Hiace</c:v>
                </c:pt>
                <c:pt idx="7">
                  <c:v>Nissan Altima</c:v>
                </c:pt>
                <c:pt idx="8">
                  <c:v>Mercedes-Benz E-Class</c:v>
                </c:pt>
                <c:pt idx="9">
                  <c:v>Nissan Urvan</c:v>
                </c:pt>
                <c:pt idx="10">
                  <c:v>Chevrolet Malibu</c:v>
                </c:pt>
                <c:pt idx="11">
                  <c:v>Mitsubishi Montero Sport</c:v>
                </c:pt>
                <c:pt idx="12">
                  <c:v>Ford Everest</c:v>
                </c:pt>
                <c:pt idx="13">
                  <c:v>Nissan Leaf</c:v>
                </c:pt>
                <c:pt idx="14">
                  <c:v>BMW 3 Series</c:v>
                </c:pt>
                <c:pt idx="15">
                  <c:v>Audi A6</c:v>
                </c:pt>
                <c:pt idx="16">
                  <c:v>Honda Accord</c:v>
                </c:pt>
                <c:pt idx="17">
                  <c:v>Toyota Corolla</c:v>
                </c:pt>
                <c:pt idx="18">
                  <c:v>Toyota Vios</c:v>
                </c:pt>
                <c:pt idx="19">
                  <c:v>Mazda CX-5</c:v>
                </c:pt>
                <c:pt idx="20">
                  <c:v>Volkswagen Jetta</c:v>
                </c:pt>
                <c:pt idx="21">
                  <c:v>Jeep Wrangler</c:v>
                </c:pt>
                <c:pt idx="22">
                  <c:v>Mazda 3</c:v>
                </c:pt>
                <c:pt idx="23">
                  <c:v>Tesla Model 3</c:v>
                </c:pt>
                <c:pt idx="24">
                  <c:v>Ford Mustang</c:v>
                </c:pt>
                <c:pt idx="25">
                  <c:v>Audi A4</c:v>
                </c:pt>
                <c:pt idx="26">
                  <c:v>Mercedes-Benz C-Class</c:v>
                </c:pt>
                <c:pt idx="27">
                  <c:v>Kia Optima</c:v>
                </c:pt>
              </c:strCache>
            </c:strRef>
          </c:cat>
          <c:val>
            <c:numRef>
              <c:f>Pivots!$C$150:$C$178</c:f>
              <c:numCache>
                <c:formatCode>General</c:formatCode>
                <c:ptCount val="28"/>
                <c:pt idx="1">
                  <c:v>1</c:v>
                </c:pt>
                <c:pt idx="2">
                  <c:v>1</c:v>
                </c:pt>
                <c:pt idx="3">
                  <c:v>2</c:v>
                </c:pt>
                <c:pt idx="4">
                  <c:v>2</c:v>
                </c:pt>
                <c:pt idx="5">
                  <c:v>1</c:v>
                </c:pt>
                <c:pt idx="6">
                  <c:v>1</c:v>
                </c:pt>
                <c:pt idx="8">
                  <c:v>1</c:v>
                </c:pt>
                <c:pt idx="15">
                  <c:v>1</c:v>
                </c:pt>
              </c:numCache>
            </c:numRef>
          </c:val>
          <c:extLst>
            <c:ext xmlns:c16="http://schemas.microsoft.com/office/drawing/2014/chart" uri="{C3380CC4-5D6E-409C-BE32-E72D297353CC}">
              <c16:uniqueId val="{00000023-1F26-48A0-A793-E5132A9B175A}"/>
            </c:ext>
          </c:extLst>
        </c:ser>
        <c:ser>
          <c:idx val="2"/>
          <c:order val="2"/>
          <c:tx>
            <c:strRef>
              <c:f>Pivots!$D$148:$D$149</c:f>
              <c:strCache>
                <c:ptCount val="1"/>
                <c:pt idx="0">
                  <c:v>Completed</c:v>
                </c:pt>
              </c:strCache>
            </c:strRef>
          </c:tx>
          <c:spPr>
            <a:solidFill>
              <a:schemeClr val="accent6">
                <a:lumMod val="75000"/>
              </a:schemeClr>
            </a:solidFill>
            <a:ln>
              <a:noFill/>
            </a:ln>
            <a:effectLst/>
          </c:spPr>
          <c:invertIfNegative val="0"/>
          <c:cat>
            <c:strRef>
              <c:f>Pivots!$A$150:$A$178</c:f>
              <c:strCache>
                <c:ptCount val="28"/>
                <c:pt idx="0">
                  <c:v>Honda Civic</c:v>
                </c:pt>
                <c:pt idx="1">
                  <c:v>Toyota Camry</c:v>
                </c:pt>
                <c:pt idx="2">
                  <c:v>Hyundai Elantra</c:v>
                </c:pt>
                <c:pt idx="3">
                  <c:v>BMW 5 Series</c:v>
                </c:pt>
                <c:pt idx="4">
                  <c:v>Tesla Model 3 or Similar</c:v>
                </c:pt>
                <c:pt idx="5">
                  <c:v>Honda CR-V</c:v>
                </c:pt>
                <c:pt idx="6">
                  <c:v>Toyota Hiace</c:v>
                </c:pt>
                <c:pt idx="7">
                  <c:v>Nissan Altima</c:v>
                </c:pt>
                <c:pt idx="8">
                  <c:v>Mercedes-Benz E-Class</c:v>
                </c:pt>
                <c:pt idx="9">
                  <c:v>Nissan Urvan</c:v>
                </c:pt>
                <c:pt idx="10">
                  <c:v>Chevrolet Malibu</c:v>
                </c:pt>
                <c:pt idx="11">
                  <c:v>Mitsubishi Montero Sport</c:v>
                </c:pt>
                <c:pt idx="12">
                  <c:v>Ford Everest</c:v>
                </c:pt>
                <c:pt idx="13">
                  <c:v>Nissan Leaf</c:v>
                </c:pt>
                <c:pt idx="14">
                  <c:v>BMW 3 Series</c:v>
                </c:pt>
                <c:pt idx="15">
                  <c:v>Audi A6</c:v>
                </c:pt>
                <c:pt idx="16">
                  <c:v>Honda Accord</c:v>
                </c:pt>
                <c:pt idx="17">
                  <c:v>Toyota Corolla</c:v>
                </c:pt>
                <c:pt idx="18">
                  <c:v>Toyota Vios</c:v>
                </c:pt>
                <c:pt idx="19">
                  <c:v>Mazda CX-5</c:v>
                </c:pt>
                <c:pt idx="20">
                  <c:v>Volkswagen Jetta</c:v>
                </c:pt>
                <c:pt idx="21">
                  <c:v>Jeep Wrangler</c:v>
                </c:pt>
                <c:pt idx="22">
                  <c:v>Mazda 3</c:v>
                </c:pt>
                <c:pt idx="23">
                  <c:v>Tesla Model 3</c:v>
                </c:pt>
                <c:pt idx="24">
                  <c:v>Ford Mustang</c:v>
                </c:pt>
                <c:pt idx="25">
                  <c:v>Audi A4</c:v>
                </c:pt>
                <c:pt idx="26">
                  <c:v>Mercedes-Benz C-Class</c:v>
                </c:pt>
                <c:pt idx="27">
                  <c:v>Kia Optima</c:v>
                </c:pt>
              </c:strCache>
            </c:strRef>
          </c:cat>
          <c:val>
            <c:numRef>
              <c:f>Pivots!$D$150:$D$178</c:f>
              <c:numCache>
                <c:formatCode>General</c:formatCode>
                <c:ptCount val="28"/>
                <c:pt idx="0">
                  <c:v>5</c:v>
                </c:pt>
                <c:pt idx="1">
                  <c:v>4</c:v>
                </c:pt>
                <c:pt idx="2">
                  <c:v>3</c:v>
                </c:pt>
                <c:pt idx="3">
                  <c:v>1</c:v>
                </c:pt>
                <c:pt idx="4">
                  <c:v>1</c:v>
                </c:pt>
                <c:pt idx="5">
                  <c:v>1</c:v>
                </c:pt>
                <c:pt idx="6">
                  <c:v>1</c:v>
                </c:pt>
                <c:pt idx="7">
                  <c:v>2</c:v>
                </c:pt>
                <c:pt idx="8">
                  <c:v>1</c:v>
                </c:pt>
                <c:pt idx="9">
                  <c:v>1</c:v>
                </c:pt>
                <c:pt idx="10">
                  <c:v>2</c:v>
                </c:pt>
                <c:pt idx="11">
                  <c:v>1</c:v>
                </c:pt>
                <c:pt idx="12">
                  <c:v>2</c:v>
                </c:pt>
                <c:pt idx="13">
                  <c:v>1</c:v>
                </c:pt>
                <c:pt idx="14">
                  <c:v>2</c:v>
                </c:pt>
                <c:pt idx="15">
                  <c:v>1</c:v>
                </c:pt>
                <c:pt idx="16">
                  <c:v>2</c:v>
                </c:pt>
                <c:pt idx="17">
                  <c:v>2</c:v>
                </c:pt>
                <c:pt idx="18">
                  <c:v>2</c:v>
                </c:pt>
                <c:pt idx="19">
                  <c:v>2</c:v>
                </c:pt>
                <c:pt idx="20">
                  <c:v>2</c:v>
                </c:pt>
                <c:pt idx="21">
                  <c:v>2</c:v>
                </c:pt>
                <c:pt idx="22">
                  <c:v>2</c:v>
                </c:pt>
                <c:pt idx="23">
                  <c:v>1</c:v>
                </c:pt>
                <c:pt idx="24">
                  <c:v>1</c:v>
                </c:pt>
                <c:pt idx="25">
                  <c:v>1</c:v>
                </c:pt>
                <c:pt idx="26">
                  <c:v>1</c:v>
                </c:pt>
                <c:pt idx="27">
                  <c:v>1</c:v>
                </c:pt>
              </c:numCache>
            </c:numRef>
          </c:val>
          <c:extLst>
            <c:ext xmlns:c16="http://schemas.microsoft.com/office/drawing/2014/chart" uri="{C3380CC4-5D6E-409C-BE32-E72D297353CC}">
              <c16:uniqueId val="{00000024-1F26-48A0-A793-E5132A9B175A}"/>
            </c:ext>
          </c:extLst>
        </c:ser>
        <c:dLbls>
          <c:showLegendKey val="0"/>
          <c:showVal val="0"/>
          <c:showCatName val="0"/>
          <c:showSerName val="0"/>
          <c:showPercent val="0"/>
          <c:showBubbleSize val="0"/>
        </c:dLbls>
        <c:gapWidth val="150"/>
        <c:overlap val="100"/>
        <c:axId val="1589292703"/>
        <c:axId val="1589271103"/>
      </c:barChart>
      <c:catAx>
        <c:axId val="158929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9271103"/>
        <c:crosses val="autoZero"/>
        <c:auto val="1"/>
        <c:lblAlgn val="ctr"/>
        <c:lblOffset val="100"/>
        <c:noMultiLvlLbl val="0"/>
      </c:catAx>
      <c:valAx>
        <c:axId val="158927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9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Pivots!$Q$141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Pivots!$P$142:$P$154</c:f>
              <c:strCache>
                <c:ptCount val="12"/>
                <c:pt idx="0">
                  <c:v>BMW 5 Series</c:v>
                </c:pt>
                <c:pt idx="1">
                  <c:v>Ford Everest</c:v>
                </c:pt>
                <c:pt idx="2">
                  <c:v>Honda Accord</c:v>
                </c:pt>
                <c:pt idx="3">
                  <c:v>Honda CR-V</c:v>
                </c:pt>
                <c:pt idx="4">
                  <c:v>Mazda 3</c:v>
                </c:pt>
                <c:pt idx="5">
                  <c:v>Mercedes-Benz E-Class</c:v>
                </c:pt>
                <c:pt idx="6">
                  <c:v>Mitsubishi Montero Sport</c:v>
                </c:pt>
                <c:pt idx="7">
                  <c:v>Nissan Urvan</c:v>
                </c:pt>
                <c:pt idx="8">
                  <c:v>Tesla Model 3 or Similar</c:v>
                </c:pt>
                <c:pt idx="9">
                  <c:v>Toyota Camry</c:v>
                </c:pt>
                <c:pt idx="10">
                  <c:v>Toyota Hiace</c:v>
                </c:pt>
                <c:pt idx="11">
                  <c:v>Toyota Vios</c:v>
                </c:pt>
              </c:strCache>
            </c:strRef>
          </c:cat>
          <c:val>
            <c:numRef>
              <c:f>Pivots!$Q$142:$Q$154</c:f>
              <c:numCache>
                <c:formatCode>General</c:formatCode>
                <c:ptCount val="12"/>
                <c:pt idx="0">
                  <c:v>5</c:v>
                </c:pt>
                <c:pt idx="1">
                  <c:v>5</c:v>
                </c:pt>
                <c:pt idx="2">
                  <c:v>7</c:v>
                </c:pt>
                <c:pt idx="3">
                  <c:v>3</c:v>
                </c:pt>
                <c:pt idx="4">
                  <c:v>5</c:v>
                </c:pt>
                <c:pt idx="5">
                  <c:v>5</c:v>
                </c:pt>
                <c:pt idx="6">
                  <c:v>3</c:v>
                </c:pt>
                <c:pt idx="7">
                  <c:v>4</c:v>
                </c:pt>
                <c:pt idx="8">
                  <c:v>5</c:v>
                </c:pt>
                <c:pt idx="9">
                  <c:v>8</c:v>
                </c:pt>
                <c:pt idx="10">
                  <c:v>4</c:v>
                </c:pt>
                <c:pt idx="11">
                  <c:v>9</c:v>
                </c:pt>
              </c:numCache>
            </c:numRef>
          </c:val>
          <c:smooth val="0"/>
          <c:extLst>
            <c:ext xmlns:c16="http://schemas.microsoft.com/office/drawing/2014/chart" uri="{C3380CC4-5D6E-409C-BE32-E72D297353CC}">
              <c16:uniqueId val="{00000000-B57D-44C5-8D5D-D0146BB4E8B5}"/>
            </c:ext>
          </c:extLst>
        </c:ser>
        <c:dLbls>
          <c:showLegendKey val="0"/>
          <c:showVal val="0"/>
          <c:showCatName val="0"/>
          <c:showSerName val="0"/>
          <c:showPercent val="0"/>
          <c:showBubbleSize val="0"/>
        </c:dLbls>
        <c:marker val="1"/>
        <c:smooth val="0"/>
        <c:axId val="138149056"/>
        <c:axId val="138133216"/>
      </c:lineChart>
      <c:catAx>
        <c:axId val="1381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3216"/>
        <c:crosses val="autoZero"/>
        <c:auto val="1"/>
        <c:lblAlgn val="ctr"/>
        <c:lblOffset val="100"/>
        <c:noMultiLvlLbl val="0"/>
      </c:catAx>
      <c:valAx>
        <c:axId val="13813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4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[ODBC.xlsx]Pivots!PivotTable25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Rented</a:t>
            </a:r>
            <a:r>
              <a:rPr lang="en-US" baseline="0"/>
              <a:t>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Pivots!$N$177</c:f>
              <c:strCache>
                <c:ptCount val="1"/>
                <c:pt idx="0">
                  <c:v>Total</c:v>
                </c:pt>
              </c:strCache>
            </c:strRef>
          </c:tx>
          <c:spPr>
            <a:solidFill>
              <a:schemeClr val="bg2">
                <a:lumMod val="10000"/>
              </a:schemeClr>
            </a:solidFill>
            <a:ln>
              <a:noFill/>
            </a:ln>
            <a:effectLst/>
          </c:spPr>
          <c:invertIfNegative val="0"/>
          <c:cat>
            <c:strRef>
              <c:f>Pivots!$M$178:$M$206</c:f>
              <c:strCache>
                <c:ptCount val="28"/>
                <c:pt idx="0">
                  <c:v>Toyota Camry</c:v>
                </c:pt>
                <c:pt idx="1">
                  <c:v>Honda Civic</c:v>
                </c:pt>
                <c:pt idx="2">
                  <c:v>Hyundai Elantra</c:v>
                </c:pt>
                <c:pt idx="3">
                  <c:v>Toyota Hiace</c:v>
                </c:pt>
                <c:pt idx="4">
                  <c:v>Tesla Model 3 or Similar</c:v>
                </c:pt>
                <c:pt idx="5">
                  <c:v>Honda CR-V</c:v>
                </c:pt>
                <c:pt idx="6">
                  <c:v>BMW 5 Series</c:v>
                </c:pt>
                <c:pt idx="7">
                  <c:v>Mazda 3</c:v>
                </c:pt>
                <c:pt idx="8">
                  <c:v>Nissan Leaf</c:v>
                </c:pt>
                <c:pt idx="9">
                  <c:v>Ford Everest</c:v>
                </c:pt>
                <c:pt idx="10">
                  <c:v>Nissan Urvan</c:v>
                </c:pt>
                <c:pt idx="11">
                  <c:v>Audi A6</c:v>
                </c:pt>
                <c:pt idx="12">
                  <c:v>Toyota Vios</c:v>
                </c:pt>
                <c:pt idx="13">
                  <c:v>Mercedes-Benz E-Class</c:v>
                </c:pt>
                <c:pt idx="14">
                  <c:v>Mitsubishi Montero Sport</c:v>
                </c:pt>
                <c:pt idx="15">
                  <c:v>Toyota Corolla</c:v>
                </c:pt>
                <c:pt idx="16">
                  <c:v>Jeep Wrangler</c:v>
                </c:pt>
                <c:pt idx="17">
                  <c:v>Honda Accord</c:v>
                </c:pt>
                <c:pt idx="18">
                  <c:v>Mazda CX-5</c:v>
                </c:pt>
                <c:pt idx="19">
                  <c:v>Nissan Altima</c:v>
                </c:pt>
                <c:pt idx="20">
                  <c:v>Volkswagen Jetta</c:v>
                </c:pt>
                <c:pt idx="21">
                  <c:v>BMW 3 Series</c:v>
                </c:pt>
                <c:pt idx="22">
                  <c:v>Chevrolet Malibu</c:v>
                </c:pt>
                <c:pt idx="23">
                  <c:v>Kia Optima</c:v>
                </c:pt>
                <c:pt idx="24">
                  <c:v>Mercedes-Benz C-Class</c:v>
                </c:pt>
                <c:pt idx="25">
                  <c:v>Audi A4</c:v>
                </c:pt>
                <c:pt idx="26">
                  <c:v>Ford Mustang</c:v>
                </c:pt>
                <c:pt idx="27">
                  <c:v>Tesla Model 3</c:v>
                </c:pt>
              </c:strCache>
            </c:strRef>
          </c:cat>
          <c:val>
            <c:numRef>
              <c:f>Pivots!$N$178:$N$206</c:f>
              <c:numCache>
                <c:formatCode>General</c:formatCode>
                <c:ptCount val="28"/>
                <c:pt idx="0">
                  <c:v>20</c:v>
                </c:pt>
                <c:pt idx="1">
                  <c:v>18</c:v>
                </c:pt>
                <c:pt idx="2">
                  <c:v>15</c:v>
                </c:pt>
                <c:pt idx="3">
                  <c:v>13</c:v>
                </c:pt>
                <c:pt idx="4">
                  <c:v>12</c:v>
                </c:pt>
                <c:pt idx="5">
                  <c:v>12</c:v>
                </c:pt>
                <c:pt idx="6">
                  <c:v>11</c:v>
                </c:pt>
                <c:pt idx="7">
                  <c:v>9</c:v>
                </c:pt>
                <c:pt idx="8">
                  <c:v>8</c:v>
                </c:pt>
                <c:pt idx="9">
                  <c:v>8</c:v>
                </c:pt>
                <c:pt idx="10">
                  <c:v>8</c:v>
                </c:pt>
                <c:pt idx="11">
                  <c:v>8</c:v>
                </c:pt>
                <c:pt idx="12">
                  <c:v>8</c:v>
                </c:pt>
                <c:pt idx="13">
                  <c:v>8</c:v>
                </c:pt>
                <c:pt idx="14">
                  <c:v>8</c:v>
                </c:pt>
                <c:pt idx="15">
                  <c:v>7</c:v>
                </c:pt>
                <c:pt idx="16">
                  <c:v>7</c:v>
                </c:pt>
                <c:pt idx="17">
                  <c:v>7</c:v>
                </c:pt>
                <c:pt idx="18">
                  <c:v>7</c:v>
                </c:pt>
                <c:pt idx="19">
                  <c:v>7</c:v>
                </c:pt>
                <c:pt idx="20">
                  <c:v>6</c:v>
                </c:pt>
                <c:pt idx="21">
                  <c:v>6</c:v>
                </c:pt>
                <c:pt idx="22">
                  <c:v>6</c:v>
                </c:pt>
                <c:pt idx="23">
                  <c:v>4</c:v>
                </c:pt>
                <c:pt idx="24">
                  <c:v>3</c:v>
                </c:pt>
                <c:pt idx="25">
                  <c:v>3</c:v>
                </c:pt>
                <c:pt idx="26">
                  <c:v>2</c:v>
                </c:pt>
                <c:pt idx="27">
                  <c:v>2</c:v>
                </c:pt>
              </c:numCache>
            </c:numRef>
          </c:val>
          <c:extLst>
            <c:ext xmlns:c16="http://schemas.microsoft.com/office/drawing/2014/chart" uri="{C3380CC4-5D6E-409C-BE32-E72D297353CC}">
              <c16:uniqueId val="{00000000-A6A9-4218-A5DC-5A506B5D83F8}"/>
            </c:ext>
          </c:extLst>
        </c:ser>
        <c:dLbls>
          <c:showLegendKey val="0"/>
          <c:showVal val="0"/>
          <c:showCatName val="0"/>
          <c:showSerName val="0"/>
          <c:showPercent val="0"/>
          <c:showBubbleSize val="0"/>
        </c:dLbls>
        <c:gapWidth val="150"/>
        <c:overlap val="100"/>
        <c:axId val="1589237023"/>
        <c:axId val="1589241343"/>
      </c:barChart>
      <c:catAx>
        <c:axId val="158923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41343"/>
        <c:crosses val="autoZero"/>
        <c:auto val="1"/>
        <c:lblAlgn val="ctr"/>
        <c:lblOffset val="100"/>
        <c:noMultiLvlLbl val="0"/>
      </c:catAx>
      <c:valAx>
        <c:axId val="158924134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0.xml"/><Relationship Id="rId16" Type="http://schemas.openxmlformats.org/officeDocument/2006/relationships/image" Target="../media/image9.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4.svg"/><Relationship Id="rId5" Type="http://schemas.openxmlformats.org/officeDocument/2006/relationships/chart" Target="../charts/chart13.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2.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22</xdr:col>
      <xdr:colOff>647700</xdr:colOff>
      <xdr:row>181</xdr:row>
      <xdr:rowOff>161925</xdr:rowOff>
    </xdr:from>
    <xdr:to>
      <xdr:col>29</xdr:col>
      <xdr:colOff>123825</xdr:colOff>
      <xdr:row>196</xdr:row>
      <xdr:rowOff>47625</xdr:rowOff>
    </xdr:to>
    <xdr:graphicFrame macro="">
      <xdr:nvGraphicFramePr>
        <xdr:cNvPr id="3" name="Chart 2">
          <a:extLst>
            <a:ext uri="{FF2B5EF4-FFF2-40B4-BE49-F238E27FC236}">
              <a16:creationId xmlns:a16="http://schemas.microsoft.com/office/drawing/2014/main" id="{661FBC0E-80B0-EF63-8A26-48C06FB14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333375</xdr:colOff>
      <xdr:row>191</xdr:row>
      <xdr:rowOff>152400</xdr:rowOff>
    </xdr:from>
    <xdr:to>
      <xdr:col>31</xdr:col>
      <xdr:colOff>628650</xdr:colOff>
      <xdr:row>210</xdr:row>
      <xdr:rowOff>19050</xdr:rowOff>
    </xdr:to>
    <xdr:graphicFrame macro="">
      <xdr:nvGraphicFramePr>
        <xdr:cNvPr id="4" name="Chart 3">
          <a:extLst>
            <a:ext uri="{FF2B5EF4-FFF2-40B4-BE49-F238E27FC236}">
              <a16:creationId xmlns:a16="http://schemas.microsoft.com/office/drawing/2014/main" id="{98E27055-8F54-E56A-2BFF-F83209966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800100</xdr:colOff>
      <xdr:row>63</xdr:row>
      <xdr:rowOff>161924</xdr:rowOff>
    </xdr:from>
    <xdr:to>
      <xdr:col>32</xdr:col>
      <xdr:colOff>323850</xdr:colOff>
      <xdr:row>79</xdr:row>
      <xdr:rowOff>152399</xdr:rowOff>
    </xdr:to>
    <xdr:graphicFrame macro="">
      <xdr:nvGraphicFramePr>
        <xdr:cNvPr id="6" name="Chart 5">
          <a:extLst>
            <a:ext uri="{FF2B5EF4-FFF2-40B4-BE49-F238E27FC236}">
              <a16:creationId xmlns:a16="http://schemas.microsoft.com/office/drawing/2014/main" id="{04DADE0A-6363-C025-0A33-D91235136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1238250</xdr:colOff>
      <xdr:row>212</xdr:row>
      <xdr:rowOff>123825</xdr:rowOff>
    </xdr:from>
    <xdr:to>
      <xdr:col>16</xdr:col>
      <xdr:colOff>123825</xdr:colOff>
      <xdr:row>227</xdr:row>
      <xdr:rowOff>9525</xdr:rowOff>
    </xdr:to>
    <xdr:graphicFrame macro="">
      <xdr:nvGraphicFramePr>
        <xdr:cNvPr id="7" name="Chart 6">
          <a:extLst>
            <a:ext uri="{FF2B5EF4-FFF2-40B4-BE49-F238E27FC236}">
              <a16:creationId xmlns:a16="http://schemas.microsoft.com/office/drawing/2014/main" id="{59401CDA-C443-9E4C-21D8-F411BE115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142875</xdr:colOff>
      <xdr:row>126</xdr:row>
      <xdr:rowOff>133350</xdr:rowOff>
    </xdr:from>
    <xdr:to>
      <xdr:col>8</xdr:col>
      <xdr:colOff>1638300</xdr:colOff>
      <xdr:row>141</xdr:row>
      <xdr:rowOff>19050</xdr:rowOff>
    </xdr:to>
    <xdr:graphicFrame macro="">
      <xdr:nvGraphicFramePr>
        <xdr:cNvPr id="8" name="Chart 7">
          <a:extLst>
            <a:ext uri="{FF2B5EF4-FFF2-40B4-BE49-F238E27FC236}">
              <a16:creationId xmlns:a16="http://schemas.microsoft.com/office/drawing/2014/main" id="{798FC381-917F-AAC4-F475-66CE5CA80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76200</xdr:colOff>
      <xdr:row>146</xdr:row>
      <xdr:rowOff>95250</xdr:rowOff>
    </xdr:from>
    <xdr:to>
      <xdr:col>8</xdr:col>
      <xdr:colOff>1019175</xdr:colOff>
      <xdr:row>160</xdr:row>
      <xdr:rowOff>171450</xdr:rowOff>
    </xdr:to>
    <xdr:graphicFrame macro="">
      <xdr:nvGraphicFramePr>
        <xdr:cNvPr id="9" name="Chart 8">
          <a:extLst>
            <a:ext uri="{FF2B5EF4-FFF2-40B4-BE49-F238E27FC236}">
              <a16:creationId xmlns:a16="http://schemas.microsoft.com/office/drawing/2014/main" id="{B7DE02D7-C1DB-1133-FE37-3CFD83D3C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390525</xdr:colOff>
      <xdr:row>152</xdr:row>
      <xdr:rowOff>28575</xdr:rowOff>
    </xdr:from>
    <xdr:to>
      <xdr:col>18</xdr:col>
      <xdr:colOff>628650</xdr:colOff>
      <xdr:row>163</xdr:row>
      <xdr:rowOff>171450</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822E0D6E-D85E-4AB3-94D7-3A7A7D2C408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678150" y="28984575"/>
              <a:ext cx="1695450" cy="22383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1323975</xdr:colOff>
      <xdr:row>162</xdr:row>
      <xdr:rowOff>28576</xdr:rowOff>
    </xdr:from>
    <xdr:to>
      <xdr:col>20</xdr:col>
      <xdr:colOff>647700</xdr:colOff>
      <xdr:row>167</xdr:row>
      <xdr:rowOff>104776</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01076658-E8F0-C0C4-0549-7A61006A02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068925" y="30889576"/>
              <a:ext cx="1828800" cy="10287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714375</xdr:colOff>
      <xdr:row>210</xdr:row>
      <xdr:rowOff>85725</xdr:rowOff>
    </xdr:from>
    <xdr:to>
      <xdr:col>16</xdr:col>
      <xdr:colOff>1076325</xdr:colOff>
      <xdr:row>215</xdr:row>
      <xdr:rowOff>133350</xdr:rowOff>
    </xdr:to>
    <mc:AlternateContent xmlns:mc="http://schemas.openxmlformats.org/markup-compatibility/2006">
      <mc:Choice xmlns:a14="http://schemas.microsoft.com/office/drawing/2010/main" Requires="a14">
        <xdr:graphicFrame macro="">
          <xdr:nvGraphicFramePr>
            <xdr:cNvPr id="14" name="Year 2">
              <a:extLst>
                <a:ext uri="{FF2B5EF4-FFF2-40B4-BE49-F238E27FC236}">
                  <a16:creationId xmlns:a16="http://schemas.microsoft.com/office/drawing/2014/main" id="{80B0A2AF-0282-04B4-DA84-AF3C5D36FC0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3068300" y="40090725"/>
              <a:ext cx="1828800" cy="1000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381000</xdr:colOff>
      <xdr:row>148</xdr:row>
      <xdr:rowOff>38100</xdr:rowOff>
    </xdr:from>
    <xdr:to>
      <xdr:col>28</xdr:col>
      <xdr:colOff>590550</xdr:colOff>
      <xdr:row>173</xdr:row>
      <xdr:rowOff>76200</xdr:rowOff>
    </xdr:to>
    <mc:AlternateContent xmlns:mc="http://schemas.openxmlformats.org/markup-compatibility/2006">
      <mc:Choice xmlns:a14="http://schemas.microsoft.com/office/drawing/2010/main" Requires="a14">
        <xdr:graphicFrame macro="">
          <xdr:nvGraphicFramePr>
            <xdr:cNvPr id="15" name="Date">
              <a:extLst>
                <a:ext uri="{FF2B5EF4-FFF2-40B4-BE49-F238E27FC236}">
                  <a16:creationId xmlns:a16="http://schemas.microsoft.com/office/drawing/2014/main" id="{50F9DCD2-EF84-3636-FE7F-AA7B8262356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3602950" y="28232100"/>
              <a:ext cx="3581400" cy="48006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314325</xdr:colOff>
      <xdr:row>134</xdr:row>
      <xdr:rowOff>95250</xdr:rowOff>
    </xdr:from>
    <xdr:to>
      <xdr:col>17</xdr:col>
      <xdr:colOff>76200</xdr:colOff>
      <xdr:row>148</xdr:row>
      <xdr:rowOff>171450</xdr:rowOff>
    </xdr:to>
    <xdr:graphicFrame macro="">
      <xdr:nvGraphicFramePr>
        <xdr:cNvPr id="16" name="Chart 15">
          <a:extLst>
            <a:ext uri="{FF2B5EF4-FFF2-40B4-BE49-F238E27FC236}">
              <a16:creationId xmlns:a16="http://schemas.microsoft.com/office/drawing/2014/main" id="{3BDDCF78-018D-C25B-4687-3EC817918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95250</xdr:colOff>
      <xdr:row>179</xdr:row>
      <xdr:rowOff>95250</xdr:rowOff>
    </xdr:from>
    <xdr:to>
      <xdr:col>12</xdr:col>
      <xdr:colOff>1457325</xdr:colOff>
      <xdr:row>193</xdr:row>
      <xdr:rowOff>171450</xdr:rowOff>
    </xdr:to>
    <xdr:graphicFrame macro="">
      <xdr:nvGraphicFramePr>
        <xdr:cNvPr id="17" name="Chart 16">
          <a:extLst>
            <a:ext uri="{FF2B5EF4-FFF2-40B4-BE49-F238E27FC236}">
              <a16:creationId xmlns:a16="http://schemas.microsoft.com/office/drawing/2014/main" id="{4B858979-8A42-9361-3CF7-ACE37F892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180975</xdr:rowOff>
    </xdr:from>
    <xdr:to>
      <xdr:col>2</xdr:col>
      <xdr:colOff>390525</xdr:colOff>
      <xdr:row>13</xdr:row>
      <xdr:rowOff>85725</xdr:rowOff>
    </xdr:to>
    <xdr:sp macro="" textlink="">
      <xdr:nvSpPr>
        <xdr:cNvPr id="2" name="Rectangle 1">
          <a:extLst>
            <a:ext uri="{FF2B5EF4-FFF2-40B4-BE49-F238E27FC236}">
              <a16:creationId xmlns:a16="http://schemas.microsoft.com/office/drawing/2014/main" id="{170BBF22-2103-FFCC-360E-EDBCF4D500EE}"/>
            </a:ext>
          </a:extLst>
        </xdr:cNvPr>
        <xdr:cNvSpPr/>
      </xdr:nvSpPr>
      <xdr:spPr>
        <a:xfrm>
          <a:off x="47625" y="180975"/>
          <a:ext cx="1562100" cy="238125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47625</xdr:colOff>
      <xdr:row>13</xdr:row>
      <xdr:rowOff>152400</xdr:rowOff>
    </xdr:from>
    <xdr:to>
      <xdr:col>2</xdr:col>
      <xdr:colOff>390525</xdr:colOff>
      <xdr:row>18</xdr:row>
      <xdr:rowOff>95250</xdr:rowOff>
    </xdr:to>
    <xdr:sp macro="" textlink="">
      <xdr:nvSpPr>
        <xdr:cNvPr id="3" name="Rectangle 2">
          <a:extLst>
            <a:ext uri="{FF2B5EF4-FFF2-40B4-BE49-F238E27FC236}">
              <a16:creationId xmlns:a16="http://schemas.microsoft.com/office/drawing/2014/main" id="{3F854DB2-AED6-31BF-DF06-8DDE6CC64C95}"/>
            </a:ext>
          </a:extLst>
        </xdr:cNvPr>
        <xdr:cNvSpPr/>
      </xdr:nvSpPr>
      <xdr:spPr>
        <a:xfrm>
          <a:off x="47625" y="2628900"/>
          <a:ext cx="1562100" cy="89535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66675</xdr:colOff>
      <xdr:row>18</xdr:row>
      <xdr:rowOff>161925</xdr:rowOff>
    </xdr:from>
    <xdr:to>
      <xdr:col>2</xdr:col>
      <xdr:colOff>409575</xdr:colOff>
      <xdr:row>33</xdr:row>
      <xdr:rowOff>85725</xdr:rowOff>
    </xdr:to>
    <xdr:sp macro="" textlink="">
      <xdr:nvSpPr>
        <xdr:cNvPr id="4" name="Rectangle 3">
          <a:extLst>
            <a:ext uri="{FF2B5EF4-FFF2-40B4-BE49-F238E27FC236}">
              <a16:creationId xmlns:a16="http://schemas.microsoft.com/office/drawing/2014/main" id="{7F58D859-CA44-E2B2-2D79-B64490E20F1A}"/>
            </a:ext>
          </a:extLst>
        </xdr:cNvPr>
        <xdr:cNvSpPr/>
      </xdr:nvSpPr>
      <xdr:spPr>
        <a:xfrm>
          <a:off x="66675" y="3590925"/>
          <a:ext cx="1562100" cy="27813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533400</xdr:colOff>
      <xdr:row>0</xdr:row>
      <xdr:rowOff>161925</xdr:rowOff>
    </xdr:from>
    <xdr:to>
      <xdr:col>26</xdr:col>
      <xdr:colOff>466725</xdr:colOff>
      <xdr:row>67</xdr:row>
      <xdr:rowOff>114300</xdr:rowOff>
    </xdr:to>
    <xdr:sp macro="" textlink="">
      <xdr:nvSpPr>
        <xdr:cNvPr id="5" name="Rectangle 4">
          <a:extLst>
            <a:ext uri="{FF2B5EF4-FFF2-40B4-BE49-F238E27FC236}">
              <a16:creationId xmlns:a16="http://schemas.microsoft.com/office/drawing/2014/main" id="{C0851482-9EAF-6507-AC19-48B7AEBC595B}"/>
            </a:ext>
          </a:extLst>
        </xdr:cNvPr>
        <xdr:cNvSpPr/>
      </xdr:nvSpPr>
      <xdr:spPr>
        <a:xfrm>
          <a:off x="1752600" y="161925"/>
          <a:ext cx="14563725" cy="12715875"/>
        </a:xfrm>
        <a:prstGeom prst="rect">
          <a:avLst/>
        </a:prstGeom>
        <a:solidFill>
          <a:schemeClr val="tx2">
            <a:lumMod val="20000"/>
            <a:lumOff val="80000"/>
          </a:schemeClr>
        </a:solidFill>
        <a:effectLst>
          <a:outerShdw blurRad="50800" dist="38100" dir="8100000" algn="tr"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590550</xdr:colOff>
      <xdr:row>1</xdr:row>
      <xdr:rowOff>57150</xdr:rowOff>
    </xdr:from>
    <xdr:to>
      <xdr:col>26</xdr:col>
      <xdr:colOff>180975</xdr:colOff>
      <xdr:row>8</xdr:row>
      <xdr:rowOff>76200</xdr:rowOff>
    </xdr:to>
    <xdr:sp macro="" textlink="">
      <xdr:nvSpPr>
        <xdr:cNvPr id="8" name="Rectangle: Rounded Corners 7">
          <a:extLst>
            <a:ext uri="{FF2B5EF4-FFF2-40B4-BE49-F238E27FC236}">
              <a16:creationId xmlns:a16="http://schemas.microsoft.com/office/drawing/2014/main" id="{683A46D3-F624-0D60-7D47-5E085595101C}"/>
            </a:ext>
          </a:extLst>
        </xdr:cNvPr>
        <xdr:cNvSpPr/>
      </xdr:nvSpPr>
      <xdr:spPr>
        <a:xfrm>
          <a:off x="1809750" y="247650"/>
          <a:ext cx="14220825" cy="135255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11</xdr:col>
      <xdr:colOff>0</xdr:colOff>
      <xdr:row>8</xdr:row>
      <xdr:rowOff>171447</xdr:rowOff>
    </xdr:from>
    <xdr:to>
      <xdr:col>13</xdr:col>
      <xdr:colOff>266700</xdr:colOff>
      <xdr:row>16</xdr:row>
      <xdr:rowOff>180972</xdr:rowOff>
    </xdr:to>
    <xdr:sp macro="" textlink="">
      <xdr:nvSpPr>
        <xdr:cNvPr id="9" name="Rectangle 8">
          <a:extLst>
            <a:ext uri="{FF2B5EF4-FFF2-40B4-BE49-F238E27FC236}">
              <a16:creationId xmlns:a16="http://schemas.microsoft.com/office/drawing/2014/main" id="{8A0C6382-FF1C-B98F-9E3F-6A11BA45160A}"/>
            </a:ext>
          </a:extLst>
        </xdr:cNvPr>
        <xdr:cNvSpPr/>
      </xdr:nvSpPr>
      <xdr:spPr>
        <a:xfrm>
          <a:off x="6705600" y="1695447"/>
          <a:ext cx="1485900" cy="1533525"/>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85725</xdr:colOff>
      <xdr:row>8</xdr:row>
      <xdr:rowOff>171447</xdr:rowOff>
    </xdr:from>
    <xdr:to>
      <xdr:col>9</xdr:col>
      <xdr:colOff>352425</xdr:colOff>
      <xdr:row>16</xdr:row>
      <xdr:rowOff>180972</xdr:rowOff>
    </xdr:to>
    <xdr:sp macro="" textlink="">
      <xdr:nvSpPr>
        <xdr:cNvPr id="10" name="Rectangle 9">
          <a:extLst>
            <a:ext uri="{FF2B5EF4-FFF2-40B4-BE49-F238E27FC236}">
              <a16:creationId xmlns:a16="http://schemas.microsoft.com/office/drawing/2014/main" id="{28E1713B-BDB6-D7A3-4D9D-BE83513BD2CC}"/>
            </a:ext>
          </a:extLst>
        </xdr:cNvPr>
        <xdr:cNvSpPr/>
      </xdr:nvSpPr>
      <xdr:spPr>
        <a:xfrm>
          <a:off x="4352925" y="1695447"/>
          <a:ext cx="1485900" cy="1533525"/>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57150</xdr:colOff>
      <xdr:row>8</xdr:row>
      <xdr:rowOff>171447</xdr:rowOff>
    </xdr:from>
    <xdr:to>
      <xdr:col>5</xdr:col>
      <xdr:colOff>323850</xdr:colOff>
      <xdr:row>16</xdr:row>
      <xdr:rowOff>180972</xdr:rowOff>
    </xdr:to>
    <xdr:sp macro="" textlink="Pivots!U19">
      <xdr:nvSpPr>
        <xdr:cNvPr id="11" name="Rectangle 10">
          <a:extLst>
            <a:ext uri="{FF2B5EF4-FFF2-40B4-BE49-F238E27FC236}">
              <a16:creationId xmlns:a16="http://schemas.microsoft.com/office/drawing/2014/main" id="{FE20B3C0-AE56-32D0-2D36-A7F85A0ED011}"/>
            </a:ext>
          </a:extLst>
        </xdr:cNvPr>
        <xdr:cNvSpPr/>
      </xdr:nvSpPr>
      <xdr:spPr>
        <a:xfrm>
          <a:off x="1885950" y="1695447"/>
          <a:ext cx="1485900" cy="1533525"/>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800" b="1">
            <a:solidFill>
              <a:sysClr val="windowText" lastClr="000000"/>
            </a:solidFill>
            <a:latin typeface="Arial Black" panose="020B0A04020102020204" pitchFamily="34" charset="0"/>
          </a:endParaRPr>
        </a:p>
      </xdr:txBody>
    </xdr:sp>
    <xdr:clientData/>
  </xdr:twoCellAnchor>
  <xdr:twoCellAnchor>
    <xdr:from>
      <xdr:col>14</xdr:col>
      <xdr:colOff>523875</xdr:colOff>
      <xdr:row>8</xdr:row>
      <xdr:rowOff>171447</xdr:rowOff>
    </xdr:from>
    <xdr:to>
      <xdr:col>17</xdr:col>
      <xdr:colOff>180975</xdr:colOff>
      <xdr:row>16</xdr:row>
      <xdr:rowOff>180972</xdr:rowOff>
    </xdr:to>
    <xdr:sp macro="" textlink="">
      <xdr:nvSpPr>
        <xdr:cNvPr id="12" name="Rectangle 11">
          <a:extLst>
            <a:ext uri="{FF2B5EF4-FFF2-40B4-BE49-F238E27FC236}">
              <a16:creationId xmlns:a16="http://schemas.microsoft.com/office/drawing/2014/main" id="{13CF30A4-2224-EE29-A427-88BE3BDA2376}"/>
            </a:ext>
          </a:extLst>
        </xdr:cNvPr>
        <xdr:cNvSpPr/>
      </xdr:nvSpPr>
      <xdr:spPr>
        <a:xfrm>
          <a:off x="9058275" y="1695447"/>
          <a:ext cx="1485900" cy="1533525"/>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18</xdr:col>
      <xdr:colOff>514350</xdr:colOff>
      <xdr:row>9</xdr:row>
      <xdr:rowOff>9522</xdr:rowOff>
    </xdr:from>
    <xdr:to>
      <xdr:col>21</xdr:col>
      <xdr:colOff>171450</xdr:colOff>
      <xdr:row>17</xdr:row>
      <xdr:rowOff>19047</xdr:rowOff>
    </xdr:to>
    <xdr:sp macro="" textlink="">
      <xdr:nvSpPr>
        <xdr:cNvPr id="13" name="Rectangle 12">
          <a:extLst>
            <a:ext uri="{FF2B5EF4-FFF2-40B4-BE49-F238E27FC236}">
              <a16:creationId xmlns:a16="http://schemas.microsoft.com/office/drawing/2014/main" id="{E6BD8E89-4794-3829-E577-360DFA9FD1FD}"/>
            </a:ext>
          </a:extLst>
        </xdr:cNvPr>
        <xdr:cNvSpPr/>
      </xdr:nvSpPr>
      <xdr:spPr>
        <a:xfrm>
          <a:off x="11487150" y="1724022"/>
          <a:ext cx="1485900" cy="1533525"/>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22</xdr:col>
      <xdr:colOff>38100</xdr:colOff>
      <xdr:row>9</xdr:row>
      <xdr:rowOff>38093</xdr:rowOff>
    </xdr:from>
    <xdr:to>
      <xdr:col>26</xdr:col>
      <xdr:colOff>171450</xdr:colOff>
      <xdr:row>44</xdr:row>
      <xdr:rowOff>142874</xdr:rowOff>
    </xdr:to>
    <xdr:sp macro="" textlink="">
      <xdr:nvSpPr>
        <xdr:cNvPr id="14" name="Rectangle 13">
          <a:extLst>
            <a:ext uri="{FF2B5EF4-FFF2-40B4-BE49-F238E27FC236}">
              <a16:creationId xmlns:a16="http://schemas.microsoft.com/office/drawing/2014/main" id="{8ACEA093-8150-FAB3-C885-A047F98A3A8C}"/>
            </a:ext>
          </a:extLst>
        </xdr:cNvPr>
        <xdr:cNvSpPr/>
      </xdr:nvSpPr>
      <xdr:spPr>
        <a:xfrm>
          <a:off x="13449300" y="1752593"/>
          <a:ext cx="2571750" cy="6772281"/>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57150</xdr:colOff>
      <xdr:row>18</xdr:row>
      <xdr:rowOff>95248</xdr:rowOff>
    </xdr:from>
    <xdr:to>
      <xdr:col>11</xdr:col>
      <xdr:colOff>571500</xdr:colOff>
      <xdr:row>38</xdr:row>
      <xdr:rowOff>171449</xdr:rowOff>
    </xdr:to>
    <xdr:sp macro="" textlink="">
      <xdr:nvSpPr>
        <xdr:cNvPr id="15" name="Rectangle 14">
          <a:extLst>
            <a:ext uri="{FF2B5EF4-FFF2-40B4-BE49-F238E27FC236}">
              <a16:creationId xmlns:a16="http://schemas.microsoft.com/office/drawing/2014/main" id="{671618D4-E894-9BE0-0CCC-DA0EF9328BC9}"/>
            </a:ext>
          </a:extLst>
        </xdr:cNvPr>
        <xdr:cNvSpPr/>
      </xdr:nvSpPr>
      <xdr:spPr>
        <a:xfrm>
          <a:off x="1885950" y="3524248"/>
          <a:ext cx="5391150" cy="3886201"/>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12</xdr:col>
      <xdr:colOff>419099</xdr:colOff>
      <xdr:row>18</xdr:row>
      <xdr:rowOff>114297</xdr:rowOff>
    </xdr:from>
    <xdr:to>
      <xdr:col>21</xdr:col>
      <xdr:colOff>276224</xdr:colOff>
      <xdr:row>31</xdr:row>
      <xdr:rowOff>85725</xdr:rowOff>
    </xdr:to>
    <xdr:sp macro="" textlink="">
      <xdr:nvSpPr>
        <xdr:cNvPr id="16" name="Rectangle 15">
          <a:extLst>
            <a:ext uri="{FF2B5EF4-FFF2-40B4-BE49-F238E27FC236}">
              <a16:creationId xmlns:a16="http://schemas.microsoft.com/office/drawing/2014/main" id="{33D49634-329F-D7E6-23CE-0AC4D634F5E9}"/>
            </a:ext>
          </a:extLst>
        </xdr:cNvPr>
        <xdr:cNvSpPr/>
      </xdr:nvSpPr>
      <xdr:spPr>
        <a:xfrm>
          <a:off x="7734299" y="3543297"/>
          <a:ext cx="5343525" cy="2447928"/>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22</xdr:col>
      <xdr:colOff>57150</xdr:colOff>
      <xdr:row>9</xdr:row>
      <xdr:rowOff>47626</xdr:rowOff>
    </xdr:from>
    <xdr:to>
      <xdr:col>26</xdr:col>
      <xdr:colOff>161925</xdr:colOff>
      <xdr:row>44</xdr:row>
      <xdr:rowOff>114300</xdr:rowOff>
    </xdr:to>
    <xdr:graphicFrame macro="">
      <xdr:nvGraphicFramePr>
        <xdr:cNvPr id="18" name="Chart 17">
          <a:extLst>
            <a:ext uri="{FF2B5EF4-FFF2-40B4-BE49-F238E27FC236}">
              <a16:creationId xmlns:a16="http://schemas.microsoft.com/office/drawing/2014/main" id="{5AE37B3C-37C3-4137-A6B3-7ABEA7DF3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85725</xdr:colOff>
      <xdr:row>9</xdr:row>
      <xdr:rowOff>9525</xdr:rowOff>
    </xdr:from>
    <xdr:to>
      <xdr:col>5</xdr:col>
      <xdr:colOff>285750</xdr:colOff>
      <xdr:row>13</xdr:row>
      <xdr:rowOff>47624</xdr:rowOff>
    </xdr:to>
    <xdr:sp macro="" textlink="">
      <xdr:nvSpPr>
        <xdr:cNvPr id="19" name="TextBox 18">
          <a:extLst>
            <a:ext uri="{FF2B5EF4-FFF2-40B4-BE49-F238E27FC236}">
              <a16:creationId xmlns:a16="http://schemas.microsoft.com/office/drawing/2014/main" id="{06E9FA5A-6B1B-D1EB-DC38-A9EF2DEE5996}"/>
            </a:ext>
          </a:extLst>
        </xdr:cNvPr>
        <xdr:cNvSpPr txBox="1"/>
      </xdr:nvSpPr>
      <xdr:spPr>
        <a:xfrm>
          <a:off x="1914525" y="1724025"/>
          <a:ext cx="1419225" cy="800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Total  Rented</a:t>
          </a:r>
          <a:br>
            <a:rPr lang="en-PH" sz="1600" b="1">
              <a:latin typeface="Arial Black" panose="020B0A04020102020204" pitchFamily="34" charset="0"/>
            </a:rPr>
          </a:br>
          <a:br>
            <a:rPr lang="en-PH" sz="1600" b="1">
              <a:latin typeface="Arial Black" panose="020B0A04020102020204" pitchFamily="34" charset="0"/>
            </a:rPr>
          </a:br>
          <a:endParaRPr lang="en-PH" sz="1600" b="1">
            <a:latin typeface="Arial Black" panose="020B0A04020102020204" pitchFamily="34" charset="0"/>
          </a:endParaRPr>
        </a:p>
      </xdr:txBody>
    </xdr:sp>
    <xdr:clientData/>
  </xdr:twoCellAnchor>
  <xdr:twoCellAnchor>
    <xdr:from>
      <xdr:col>7</xdr:col>
      <xdr:colOff>171450</xdr:colOff>
      <xdr:row>9</xdr:row>
      <xdr:rowOff>19050</xdr:rowOff>
    </xdr:from>
    <xdr:to>
      <xdr:col>9</xdr:col>
      <xdr:colOff>342900</xdr:colOff>
      <xdr:row>13</xdr:row>
      <xdr:rowOff>38100</xdr:rowOff>
    </xdr:to>
    <xdr:sp macro="" textlink="">
      <xdr:nvSpPr>
        <xdr:cNvPr id="21" name="TextBox 20">
          <a:extLst>
            <a:ext uri="{FF2B5EF4-FFF2-40B4-BE49-F238E27FC236}">
              <a16:creationId xmlns:a16="http://schemas.microsoft.com/office/drawing/2014/main" id="{D5AD6CF3-56B5-0FAF-9DAC-C828C765A234}"/>
            </a:ext>
          </a:extLst>
        </xdr:cNvPr>
        <xdr:cNvSpPr txBox="1"/>
      </xdr:nvSpPr>
      <xdr:spPr>
        <a:xfrm>
          <a:off x="4438650" y="1733550"/>
          <a:ext cx="1390650"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Total Revenue</a:t>
          </a:r>
        </a:p>
      </xdr:txBody>
    </xdr:sp>
    <xdr:clientData/>
  </xdr:twoCellAnchor>
  <xdr:twoCellAnchor>
    <xdr:from>
      <xdr:col>11</xdr:col>
      <xdr:colOff>28575</xdr:colOff>
      <xdr:row>9</xdr:row>
      <xdr:rowOff>28575</xdr:rowOff>
    </xdr:from>
    <xdr:to>
      <xdr:col>13</xdr:col>
      <xdr:colOff>200025</xdr:colOff>
      <xdr:row>13</xdr:row>
      <xdr:rowOff>95250</xdr:rowOff>
    </xdr:to>
    <xdr:sp macro="" textlink="">
      <xdr:nvSpPr>
        <xdr:cNvPr id="22" name="TextBox 21">
          <a:extLst>
            <a:ext uri="{FF2B5EF4-FFF2-40B4-BE49-F238E27FC236}">
              <a16:creationId xmlns:a16="http://schemas.microsoft.com/office/drawing/2014/main" id="{D799AA00-0859-0EF4-A6CF-4669F54A6E51}"/>
            </a:ext>
          </a:extLst>
        </xdr:cNvPr>
        <xdr:cNvSpPr txBox="1"/>
      </xdr:nvSpPr>
      <xdr:spPr>
        <a:xfrm>
          <a:off x="6734175" y="1743075"/>
          <a:ext cx="1390650"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Total Cancelled</a:t>
          </a:r>
        </a:p>
      </xdr:txBody>
    </xdr:sp>
    <xdr:clientData/>
  </xdr:twoCellAnchor>
  <xdr:twoCellAnchor>
    <xdr:from>
      <xdr:col>14</xdr:col>
      <xdr:colOff>571500</xdr:colOff>
      <xdr:row>9</xdr:row>
      <xdr:rowOff>19051</xdr:rowOff>
    </xdr:from>
    <xdr:to>
      <xdr:col>17</xdr:col>
      <xdr:colOff>133350</xdr:colOff>
      <xdr:row>13</xdr:row>
      <xdr:rowOff>76201</xdr:rowOff>
    </xdr:to>
    <xdr:sp macro="" textlink="">
      <xdr:nvSpPr>
        <xdr:cNvPr id="23" name="TextBox 22">
          <a:extLst>
            <a:ext uri="{FF2B5EF4-FFF2-40B4-BE49-F238E27FC236}">
              <a16:creationId xmlns:a16="http://schemas.microsoft.com/office/drawing/2014/main" id="{6F07A268-05FC-5694-FA4A-6A5B71EACBF0}"/>
            </a:ext>
          </a:extLst>
        </xdr:cNvPr>
        <xdr:cNvSpPr txBox="1"/>
      </xdr:nvSpPr>
      <xdr:spPr>
        <a:xfrm>
          <a:off x="9105900" y="1733551"/>
          <a:ext cx="1390650"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Total Completed</a:t>
          </a:r>
        </a:p>
      </xdr:txBody>
    </xdr:sp>
    <xdr:clientData/>
  </xdr:twoCellAnchor>
  <xdr:twoCellAnchor>
    <xdr:from>
      <xdr:col>19</xdr:col>
      <xdr:colOff>28575</xdr:colOff>
      <xdr:row>9</xdr:row>
      <xdr:rowOff>19051</xdr:rowOff>
    </xdr:from>
    <xdr:to>
      <xdr:col>21</xdr:col>
      <xdr:colOff>200025</xdr:colOff>
      <xdr:row>12</xdr:row>
      <xdr:rowOff>133351</xdr:rowOff>
    </xdr:to>
    <xdr:sp macro="" textlink="">
      <xdr:nvSpPr>
        <xdr:cNvPr id="24" name="TextBox 23">
          <a:extLst>
            <a:ext uri="{FF2B5EF4-FFF2-40B4-BE49-F238E27FC236}">
              <a16:creationId xmlns:a16="http://schemas.microsoft.com/office/drawing/2014/main" id="{C1D9278C-F4D3-60EA-3189-DAF884815ABF}"/>
            </a:ext>
          </a:extLst>
        </xdr:cNvPr>
        <xdr:cNvSpPr txBox="1"/>
      </xdr:nvSpPr>
      <xdr:spPr>
        <a:xfrm>
          <a:off x="11610975" y="1733551"/>
          <a:ext cx="139065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600" b="1">
              <a:latin typeface="Arial Black" panose="020B0A04020102020204" pitchFamily="34" charset="0"/>
            </a:rPr>
            <a:t>Total Active</a:t>
          </a:r>
        </a:p>
      </xdr:txBody>
    </xdr:sp>
    <xdr:clientData/>
  </xdr:twoCellAnchor>
  <xdr:twoCellAnchor>
    <xdr:from>
      <xdr:col>4</xdr:col>
      <xdr:colOff>266700</xdr:colOff>
      <xdr:row>12</xdr:row>
      <xdr:rowOff>133350</xdr:rowOff>
    </xdr:from>
    <xdr:to>
      <xdr:col>6</xdr:col>
      <xdr:colOff>466725</xdr:colOff>
      <xdr:row>15</xdr:row>
      <xdr:rowOff>180974</xdr:rowOff>
    </xdr:to>
    <xdr:sp macro="" textlink="Pivots!U19">
      <xdr:nvSpPr>
        <xdr:cNvPr id="25" name="TextBox 24">
          <a:extLst>
            <a:ext uri="{FF2B5EF4-FFF2-40B4-BE49-F238E27FC236}">
              <a16:creationId xmlns:a16="http://schemas.microsoft.com/office/drawing/2014/main" id="{EB66F018-C959-48A3-E2FD-04B933D803C9}"/>
            </a:ext>
          </a:extLst>
        </xdr:cNvPr>
        <xdr:cNvSpPr txBox="1"/>
      </xdr:nvSpPr>
      <xdr:spPr>
        <a:xfrm>
          <a:off x="2705100" y="2419350"/>
          <a:ext cx="1419225"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0D9494-891E-42BD-8177-C91941431E56}" type="TxLink">
            <a:rPr lang="en-US" sz="2800" b="1" i="0" u="none" strike="noStrike">
              <a:solidFill>
                <a:srgbClr val="000000"/>
              </a:solidFill>
              <a:latin typeface="Calibri"/>
              <a:ea typeface="Calibri"/>
              <a:cs typeface="Calibri"/>
            </a:rPr>
            <a:t>63</a:t>
          </a:fld>
          <a:endParaRPr lang="en-PH" sz="4000" b="1">
            <a:latin typeface="Arial Black" panose="020B0A04020102020204" pitchFamily="34" charset="0"/>
          </a:endParaRPr>
        </a:p>
      </xdr:txBody>
    </xdr:sp>
    <xdr:clientData/>
  </xdr:twoCellAnchor>
  <xdr:twoCellAnchor>
    <xdr:from>
      <xdr:col>7</xdr:col>
      <xdr:colOff>423863</xdr:colOff>
      <xdr:row>13</xdr:row>
      <xdr:rowOff>0</xdr:rowOff>
    </xdr:from>
    <xdr:to>
      <xdr:col>10</xdr:col>
      <xdr:colOff>14288</xdr:colOff>
      <xdr:row>15</xdr:row>
      <xdr:rowOff>190499</xdr:rowOff>
    </xdr:to>
    <xdr:sp macro="" textlink="Pivots!N69">
      <xdr:nvSpPr>
        <xdr:cNvPr id="26" name="TextBox 25">
          <a:extLst>
            <a:ext uri="{FF2B5EF4-FFF2-40B4-BE49-F238E27FC236}">
              <a16:creationId xmlns:a16="http://schemas.microsoft.com/office/drawing/2014/main" id="{C5B7418F-8686-1C9B-C37E-C1CA19A7C088}"/>
            </a:ext>
          </a:extLst>
        </xdr:cNvPr>
        <xdr:cNvSpPr txBox="1"/>
      </xdr:nvSpPr>
      <xdr:spPr>
        <a:xfrm>
          <a:off x="4691063" y="2476500"/>
          <a:ext cx="1419225"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57B5BF-698B-426E-A739-8F04785073EE}" type="TxLink">
            <a:rPr lang="en-US" sz="2400" b="1" i="0" u="none" strike="noStrike">
              <a:solidFill>
                <a:srgbClr val="000000"/>
              </a:solidFill>
              <a:latin typeface="Calibri"/>
              <a:ea typeface="Calibri"/>
              <a:cs typeface="Calibri"/>
            </a:rPr>
            <a:t>788000</a:t>
          </a:fld>
          <a:endParaRPr lang="en-PH" sz="6600" b="1">
            <a:latin typeface="Arial Black" panose="020B0A04020102020204" pitchFamily="34" charset="0"/>
          </a:endParaRPr>
        </a:p>
      </xdr:txBody>
    </xdr:sp>
    <xdr:clientData/>
  </xdr:twoCellAnchor>
  <xdr:twoCellAnchor>
    <xdr:from>
      <xdr:col>12</xdr:col>
      <xdr:colOff>47626</xdr:colOff>
      <xdr:row>13</xdr:row>
      <xdr:rowOff>9525</xdr:rowOff>
    </xdr:from>
    <xdr:to>
      <xdr:col>14</xdr:col>
      <xdr:colOff>247651</xdr:colOff>
      <xdr:row>15</xdr:row>
      <xdr:rowOff>180974</xdr:rowOff>
    </xdr:to>
    <xdr:sp macro="" textlink="Pivots!N107">
      <xdr:nvSpPr>
        <xdr:cNvPr id="27" name="TextBox 26">
          <a:extLst>
            <a:ext uri="{FF2B5EF4-FFF2-40B4-BE49-F238E27FC236}">
              <a16:creationId xmlns:a16="http://schemas.microsoft.com/office/drawing/2014/main" id="{9BFE11BB-4004-1721-0AFD-EF7292CE69B8}"/>
            </a:ext>
          </a:extLst>
        </xdr:cNvPr>
        <xdr:cNvSpPr txBox="1"/>
      </xdr:nvSpPr>
      <xdr:spPr>
        <a:xfrm>
          <a:off x="7362826" y="2486025"/>
          <a:ext cx="1419225"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3398B0-335D-4D3D-8C4F-7CD45974680C}" type="TxLink">
            <a:rPr lang="en-US" sz="2800" b="1" i="0" u="none" strike="noStrike">
              <a:solidFill>
                <a:srgbClr val="000000"/>
              </a:solidFill>
              <a:latin typeface="Calibri"/>
              <a:ea typeface="Calibri"/>
              <a:cs typeface="Calibri"/>
            </a:rPr>
            <a:t>10</a:t>
          </a:fld>
          <a:endParaRPr lang="en-PH" sz="7200" b="1">
            <a:latin typeface="Arial Black" panose="020B0A04020102020204" pitchFamily="34" charset="0"/>
          </a:endParaRPr>
        </a:p>
      </xdr:txBody>
    </xdr:sp>
    <xdr:clientData/>
  </xdr:twoCellAnchor>
  <xdr:twoCellAnchor>
    <xdr:from>
      <xdr:col>15</xdr:col>
      <xdr:colOff>547689</xdr:colOff>
      <xdr:row>13</xdr:row>
      <xdr:rowOff>66674</xdr:rowOff>
    </xdr:from>
    <xdr:to>
      <xdr:col>18</xdr:col>
      <xdr:colOff>138114</xdr:colOff>
      <xdr:row>15</xdr:row>
      <xdr:rowOff>180974</xdr:rowOff>
    </xdr:to>
    <xdr:sp macro="" textlink="Pivots!P31">
      <xdr:nvSpPr>
        <xdr:cNvPr id="28" name="TextBox 27">
          <a:extLst>
            <a:ext uri="{FF2B5EF4-FFF2-40B4-BE49-F238E27FC236}">
              <a16:creationId xmlns:a16="http://schemas.microsoft.com/office/drawing/2014/main" id="{B029011C-4594-7047-6011-6CD24C4F8461}"/>
            </a:ext>
          </a:extLst>
        </xdr:cNvPr>
        <xdr:cNvSpPr txBox="1"/>
      </xdr:nvSpPr>
      <xdr:spPr>
        <a:xfrm>
          <a:off x="9691689" y="2543174"/>
          <a:ext cx="14192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7CBCAF-CA6A-47B1-80CE-6F04F2406150}" type="TxLink">
            <a:rPr lang="en-US" sz="2400" b="1" i="0" u="none" strike="noStrike">
              <a:solidFill>
                <a:srgbClr val="000000"/>
              </a:solidFill>
              <a:latin typeface="Calibri"/>
              <a:ea typeface="Calibri"/>
              <a:cs typeface="Calibri"/>
            </a:rPr>
            <a:t>48</a:t>
          </a:fld>
          <a:endParaRPr lang="en-PH" sz="41300" b="1">
            <a:solidFill>
              <a:sysClr val="windowText" lastClr="000000"/>
            </a:solidFill>
            <a:latin typeface="Arial Black" panose="020B0A04020102020204" pitchFamily="34" charset="0"/>
          </a:endParaRPr>
        </a:p>
      </xdr:txBody>
    </xdr:sp>
    <xdr:clientData/>
  </xdr:twoCellAnchor>
  <xdr:twoCellAnchor>
    <xdr:from>
      <xdr:col>19</xdr:col>
      <xdr:colOff>438150</xdr:colOff>
      <xdr:row>13</xdr:row>
      <xdr:rowOff>66674</xdr:rowOff>
    </xdr:from>
    <xdr:to>
      <xdr:col>22</xdr:col>
      <xdr:colOff>28575</xdr:colOff>
      <xdr:row>15</xdr:row>
      <xdr:rowOff>180974</xdr:rowOff>
    </xdr:to>
    <xdr:sp macro="" textlink="Pivots!R31">
      <xdr:nvSpPr>
        <xdr:cNvPr id="29" name="TextBox 28">
          <a:extLst>
            <a:ext uri="{FF2B5EF4-FFF2-40B4-BE49-F238E27FC236}">
              <a16:creationId xmlns:a16="http://schemas.microsoft.com/office/drawing/2014/main" id="{839B5C81-BCD1-FCEE-C7FE-061449CA5DC2}"/>
            </a:ext>
          </a:extLst>
        </xdr:cNvPr>
        <xdr:cNvSpPr txBox="1"/>
      </xdr:nvSpPr>
      <xdr:spPr>
        <a:xfrm>
          <a:off x="12020550" y="2543174"/>
          <a:ext cx="14192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305B16-A5BE-44DC-8D41-31622071C2F1}" type="TxLink">
            <a:rPr lang="en-US" sz="2800" b="1" i="0" u="none" strike="noStrike">
              <a:solidFill>
                <a:srgbClr val="000000"/>
              </a:solidFill>
              <a:latin typeface="Calibri"/>
              <a:ea typeface="Calibri"/>
              <a:cs typeface="Calibri"/>
            </a:rPr>
            <a:t>5</a:t>
          </a:fld>
          <a:endParaRPr lang="en-PH" sz="7200" b="1">
            <a:latin typeface="Arial Black" panose="020B0A04020102020204" pitchFamily="34" charset="0"/>
          </a:endParaRPr>
        </a:p>
      </xdr:txBody>
    </xdr:sp>
    <xdr:clientData/>
  </xdr:twoCellAnchor>
  <xdr:twoCellAnchor>
    <xdr:from>
      <xdr:col>3</xdr:col>
      <xdr:colOff>76200</xdr:colOff>
      <xdr:row>18</xdr:row>
      <xdr:rowOff>161926</xdr:rowOff>
    </xdr:from>
    <xdr:to>
      <xdr:col>11</xdr:col>
      <xdr:colOff>533400</xdr:colOff>
      <xdr:row>38</xdr:row>
      <xdr:rowOff>142874</xdr:rowOff>
    </xdr:to>
    <xdr:graphicFrame macro="">
      <xdr:nvGraphicFramePr>
        <xdr:cNvPr id="30" name="Chart 29">
          <a:extLst>
            <a:ext uri="{FF2B5EF4-FFF2-40B4-BE49-F238E27FC236}">
              <a16:creationId xmlns:a16="http://schemas.microsoft.com/office/drawing/2014/main" id="{7D2BF042-A22D-4162-9F1F-25AAF590A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409575</xdr:colOff>
      <xdr:row>45</xdr:row>
      <xdr:rowOff>114300</xdr:rowOff>
    </xdr:from>
    <xdr:to>
      <xdr:col>26</xdr:col>
      <xdr:colOff>142875</xdr:colOff>
      <xdr:row>66</xdr:row>
      <xdr:rowOff>142875</xdr:rowOff>
    </xdr:to>
    <xdr:sp macro="" textlink="">
      <xdr:nvSpPr>
        <xdr:cNvPr id="35" name="Rectangle 34">
          <a:extLst>
            <a:ext uri="{FF2B5EF4-FFF2-40B4-BE49-F238E27FC236}">
              <a16:creationId xmlns:a16="http://schemas.microsoft.com/office/drawing/2014/main" id="{BD1B10C0-7968-70D0-8D80-E94325CC42F6}"/>
            </a:ext>
          </a:extLst>
        </xdr:cNvPr>
        <xdr:cNvSpPr/>
      </xdr:nvSpPr>
      <xdr:spPr>
        <a:xfrm>
          <a:off x="7724775" y="8686800"/>
          <a:ext cx="8267700" cy="4029075"/>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12</xdr:col>
      <xdr:colOff>409575</xdr:colOff>
      <xdr:row>32</xdr:row>
      <xdr:rowOff>66671</xdr:rowOff>
    </xdr:from>
    <xdr:to>
      <xdr:col>21</xdr:col>
      <xdr:colOff>314325</xdr:colOff>
      <xdr:row>44</xdr:row>
      <xdr:rowOff>161925</xdr:rowOff>
    </xdr:to>
    <xdr:sp macro="" textlink="">
      <xdr:nvSpPr>
        <xdr:cNvPr id="36" name="Rectangle 35">
          <a:extLst>
            <a:ext uri="{FF2B5EF4-FFF2-40B4-BE49-F238E27FC236}">
              <a16:creationId xmlns:a16="http://schemas.microsoft.com/office/drawing/2014/main" id="{3918A3FB-DE8E-B053-828C-4E8B6AB64B6F}"/>
            </a:ext>
          </a:extLst>
        </xdr:cNvPr>
        <xdr:cNvSpPr/>
      </xdr:nvSpPr>
      <xdr:spPr>
        <a:xfrm>
          <a:off x="7724775" y="6162671"/>
          <a:ext cx="5391150" cy="2381254"/>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38100</xdr:colOff>
      <xdr:row>39</xdr:row>
      <xdr:rowOff>142871</xdr:rowOff>
    </xdr:from>
    <xdr:to>
      <xdr:col>11</xdr:col>
      <xdr:colOff>590549</xdr:colOff>
      <xdr:row>52</xdr:row>
      <xdr:rowOff>123825</xdr:rowOff>
    </xdr:to>
    <xdr:sp macro="" textlink="">
      <xdr:nvSpPr>
        <xdr:cNvPr id="37" name="Rectangle 36">
          <a:extLst>
            <a:ext uri="{FF2B5EF4-FFF2-40B4-BE49-F238E27FC236}">
              <a16:creationId xmlns:a16="http://schemas.microsoft.com/office/drawing/2014/main" id="{362496B3-3D9A-77C6-5D3F-51DD8D7E9ECD}"/>
            </a:ext>
          </a:extLst>
        </xdr:cNvPr>
        <xdr:cNvSpPr/>
      </xdr:nvSpPr>
      <xdr:spPr>
        <a:xfrm>
          <a:off x="1866900" y="7572371"/>
          <a:ext cx="5429249" cy="2457454"/>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12</xdr:col>
      <xdr:colOff>447675</xdr:colOff>
      <xdr:row>45</xdr:row>
      <xdr:rowOff>161925</xdr:rowOff>
    </xdr:from>
    <xdr:to>
      <xdr:col>26</xdr:col>
      <xdr:colOff>66675</xdr:colOff>
      <xdr:row>66</xdr:row>
      <xdr:rowOff>66675</xdr:rowOff>
    </xdr:to>
    <xdr:graphicFrame macro="">
      <xdr:nvGraphicFramePr>
        <xdr:cNvPr id="38" name="Chart 37">
          <a:extLst>
            <a:ext uri="{FF2B5EF4-FFF2-40B4-BE49-F238E27FC236}">
              <a16:creationId xmlns:a16="http://schemas.microsoft.com/office/drawing/2014/main" id="{C9346BCE-47D3-408B-8D9C-099358C79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447675</xdr:colOff>
      <xdr:row>32</xdr:row>
      <xdr:rowOff>85726</xdr:rowOff>
    </xdr:from>
    <xdr:to>
      <xdr:col>21</xdr:col>
      <xdr:colOff>266701</xdr:colOff>
      <xdr:row>44</xdr:row>
      <xdr:rowOff>142876</xdr:rowOff>
    </xdr:to>
    <xdr:graphicFrame macro="">
      <xdr:nvGraphicFramePr>
        <xdr:cNvPr id="40" name="Chart 39">
          <a:extLst>
            <a:ext uri="{FF2B5EF4-FFF2-40B4-BE49-F238E27FC236}">
              <a16:creationId xmlns:a16="http://schemas.microsoft.com/office/drawing/2014/main" id="{C653D370-19A4-4BAF-AD28-485CD2055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428626</xdr:colOff>
      <xdr:row>18</xdr:row>
      <xdr:rowOff>133350</xdr:rowOff>
    </xdr:from>
    <xdr:to>
      <xdr:col>21</xdr:col>
      <xdr:colOff>257175</xdr:colOff>
      <xdr:row>31</xdr:row>
      <xdr:rowOff>76200</xdr:rowOff>
    </xdr:to>
    <xdr:graphicFrame macro="">
      <xdr:nvGraphicFramePr>
        <xdr:cNvPr id="41" name="Chart 40">
          <a:extLst>
            <a:ext uri="{FF2B5EF4-FFF2-40B4-BE49-F238E27FC236}">
              <a16:creationId xmlns:a16="http://schemas.microsoft.com/office/drawing/2014/main" id="{D8A2A08C-34C2-4EF1-B3AF-9583366D9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95251</xdr:colOff>
      <xdr:row>1</xdr:row>
      <xdr:rowOff>57151</xdr:rowOff>
    </xdr:from>
    <xdr:to>
      <xdr:col>2</xdr:col>
      <xdr:colOff>304800</xdr:colOff>
      <xdr:row>13</xdr:row>
      <xdr:rowOff>47625</xdr:rowOff>
    </xdr:to>
    <mc:AlternateContent xmlns:mc="http://schemas.openxmlformats.org/markup-compatibility/2006">
      <mc:Choice xmlns:a14="http://schemas.microsoft.com/office/drawing/2010/main" Requires="a14">
        <xdr:graphicFrame macro="">
          <xdr:nvGraphicFramePr>
            <xdr:cNvPr id="42" name="Month 1">
              <a:extLst>
                <a:ext uri="{FF2B5EF4-FFF2-40B4-BE49-F238E27FC236}">
                  <a16:creationId xmlns:a16="http://schemas.microsoft.com/office/drawing/2014/main" id="{88F61FF6-607C-4DDC-8A3B-09E448187C5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5251" y="247651"/>
              <a:ext cx="1428749" cy="22764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14</xdr:row>
      <xdr:rowOff>76200</xdr:rowOff>
    </xdr:from>
    <xdr:to>
      <xdr:col>2</xdr:col>
      <xdr:colOff>352425</xdr:colOff>
      <xdr:row>17</xdr:row>
      <xdr:rowOff>161925</xdr:rowOff>
    </xdr:to>
    <mc:AlternateContent xmlns:mc="http://schemas.openxmlformats.org/markup-compatibility/2006">
      <mc:Choice xmlns:a14="http://schemas.microsoft.com/office/drawing/2010/main" Requires="a14">
        <xdr:graphicFrame macro="">
          <xdr:nvGraphicFramePr>
            <xdr:cNvPr id="43" name="Year 1">
              <a:extLst>
                <a:ext uri="{FF2B5EF4-FFF2-40B4-BE49-F238E27FC236}">
                  <a16:creationId xmlns:a16="http://schemas.microsoft.com/office/drawing/2014/main" id="{C496DF72-26CD-426B-ABA8-FD5503ADAAC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5725" y="2743200"/>
              <a:ext cx="1485900" cy="6572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133351</xdr:colOff>
      <xdr:row>19</xdr:row>
      <xdr:rowOff>66675</xdr:rowOff>
    </xdr:from>
    <xdr:to>
      <xdr:col>2</xdr:col>
      <xdr:colOff>352425</xdr:colOff>
      <xdr:row>32</xdr:row>
      <xdr:rowOff>180975</xdr:rowOff>
    </xdr:to>
    <mc:AlternateContent xmlns:mc="http://schemas.openxmlformats.org/markup-compatibility/2006">
      <mc:Choice xmlns:a14="http://schemas.microsoft.com/office/drawing/2010/main" Requires="a14">
        <xdr:graphicFrame macro="">
          <xdr:nvGraphicFramePr>
            <xdr:cNvPr id="45" name="Date 1">
              <a:extLst>
                <a:ext uri="{FF2B5EF4-FFF2-40B4-BE49-F238E27FC236}">
                  <a16:creationId xmlns:a16="http://schemas.microsoft.com/office/drawing/2014/main" id="{96CDA099-7A1A-485D-91CF-6A145CDA2699}"/>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33351" y="3686175"/>
              <a:ext cx="1438274" cy="2590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161925</xdr:colOff>
      <xdr:row>40</xdr:row>
      <xdr:rowOff>19050</xdr:rowOff>
    </xdr:from>
    <xdr:to>
      <xdr:col>11</xdr:col>
      <xdr:colOff>419100</xdr:colOff>
      <xdr:row>52</xdr:row>
      <xdr:rowOff>9525</xdr:rowOff>
    </xdr:to>
    <xdr:graphicFrame macro="">
      <xdr:nvGraphicFramePr>
        <xdr:cNvPr id="46" name="Chart 45">
          <a:extLst>
            <a:ext uri="{FF2B5EF4-FFF2-40B4-BE49-F238E27FC236}">
              <a16:creationId xmlns:a16="http://schemas.microsoft.com/office/drawing/2014/main" id="{21AA2692-ACBD-43D9-9260-36A7A0610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123825</xdr:colOff>
      <xdr:row>1</xdr:row>
      <xdr:rowOff>66674</xdr:rowOff>
    </xdr:from>
    <xdr:to>
      <xdr:col>22</xdr:col>
      <xdr:colOff>495300</xdr:colOff>
      <xdr:row>8</xdr:row>
      <xdr:rowOff>114299</xdr:rowOff>
    </xdr:to>
    <xdr:sp macro="" textlink="">
      <xdr:nvSpPr>
        <xdr:cNvPr id="47" name="TextBox 46">
          <a:extLst>
            <a:ext uri="{FF2B5EF4-FFF2-40B4-BE49-F238E27FC236}">
              <a16:creationId xmlns:a16="http://schemas.microsoft.com/office/drawing/2014/main" id="{881DA13C-E326-F876-88A8-8AA625C56800}"/>
            </a:ext>
          </a:extLst>
        </xdr:cNvPr>
        <xdr:cNvSpPr txBox="1"/>
      </xdr:nvSpPr>
      <xdr:spPr>
        <a:xfrm>
          <a:off x="1952625" y="257174"/>
          <a:ext cx="11953875" cy="1381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3600" b="1">
              <a:latin typeface="Algerian" panose="04020705040A02060702" pitchFamily="82" charset="0"/>
            </a:rPr>
            <a:t>DASHBOARD</a:t>
          </a:r>
          <a:br>
            <a:rPr lang="en-PH" sz="3600" b="1">
              <a:latin typeface="Algerian" panose="04020705040A02060702" pitchFamily="82" charset="0"/>
            </a:rPr>
          </a:br>
          <a:r>
            <a:rPr lang="en-PH" sz="3600" b="1" baseline="0">
              <a:latin typeface="Algerian" panose="04020705040A02060702" pitchFamily="82" charset="0"/>
            </a:rPr>
            <a:t>                    CARGO!</a:t>
          </a:r>
          <a:endParaRPr lang="en-PH" sz="3600" b="1">
            <a:latin typeface="Algerian" panose="04020705040A02060702" pitchFamily="82" charset="0"/>
          </a:endParaRPr>
        </a:p>
      </xdr:txBody>
    </xdr:sp>
    <xdr:clientData/>
  </xdr:twoCellAnchor>
  <xdr:twoCellAnchor>
    <xdr:from>
      <xdr:col>3</xdr:col>
      <xdr:colOff>57150</xdr:colOff>
      <xdr:row>53</xdr:row>
      <xdr:rowOff>142871</xdr:rowOff>
    </xdr:from>
    <xdr:to>
      <xdr:col>11</xdr:col>
      <xdr:colOff>609599</xdr:colOff>
      <xdr:row>66</xdr:row>
      <xdr:rowOff>123825</xdr:rowOff>
    </xdr:to>
    <xdr:sp macro="" textlink="">
      <xdr:nvSpPr>
        <xdr:cNvPr id="48" name="Rectangle 47">
          <a:extLst>
            <a:ext uri="{FF2B5EF4-FFF2-40B4-BE49-F238E27FC236}">
              <a16:creationId xmlns:a16="http://schemas.microsoft.com/office/drawing/2014/main" id="{26F7D023-2911-59C5-B9C2-20577502A535}"/>
            </a:ext>
          </a:extLst>
        </xdr:cNvPr>
        <xdr:cNvSpPr/>
      </xdr:nvSpPr>
      <xdr:spPr>
        <a:xfrm>
          <a:off x="1885950" y="10239371"/>
          <a:ext cx="5429249" cy="2457454"/>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104775</xdr:colOff>
      <xdr:row>53</xdr:row>
      <xdr:rowOff>142875</xdr:rowOff>
    </xdr:from>
    <xdr:to>
      <xdr:col>11</xdr:col>
      <xdr:colOff>523875</xdr:colOff>
      <xdr:row>66</xdr:row>
      <xdr:rowOff>104775</xdr:rowOff>
    </xdr:to>
    <xdr:graphicFrame macro="">
      <xdr:nvGraphicFramePr>
        <xdr:cNvPr id="49" name="Chart 48">
          <a:extLst>
            <a:ext uri="{FF2B5EF4-FFF2-40B4-BE49-F238E27FC236}">
              <a16:creationId xmlns:a16="http://schemas.microsoft.com/office/drawing/2014/main" id="{7520C297-58BD-4887-8F4C-635466FB0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409576</xdr:colOff>
      <xdr:row>8</xdr:row>
      <xdr:rowOff>152325</xdr:rowOff>
    </xdr:from>
    <xdr:to>
      <xdr:col>13</xdr:col>
      <xdr:colOff>228752</xdr:colOff>
      <xdr:row>11</xdr:row>
      <xdr:rowOff>9601</xdr:rowOff>
    </xdr:to>
    <xdr:pic>
      <xdr:nvPicPr>
        <xdr:cNvPr id="51" name="Graphic 50" descr="Back with solid fill">
          <a:extLst>
            <a:ext uri="{FF2B5EF4-FFF2-40B4-BE49-F238E27FC236}">
              <a16:creationId xmlns:a16="http://schemas.microsoft.com/office/drawing/2014/main" id="{B18A21BC-9D2C-511E-4C13-CF091D0256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724776" y="1676325"/>
          <a:ext cx="428776" cy="428776"/>
        </a:xfrm>
        <a:prstGeom prst="rect">
          <a:avLst/>
        </a:prstGeom>
      </xdr:spPr>
    </xdr:pic>
    <xdr:clientData/>
  </xdr:twoCellAnchor>
  <xdr:twoCellAnchor editAs="oneCell">
    <xdr:from>
      <xdr:col>8</xdr:col>
      <xdr:colOff>490501</xdr:colOff>
      <xdr:row>8</xdr:row>
      <xdr:rowOff>185625</xdr:rowOff>
    </xdr:from>
    <xdr:to>
      <xdr:col>9</xdr:col>
      <xdr:colOff>309677</xdr:colOff>
      <xdr:row>11</xdr:row>
      <xdr:rowOff>42901</xdr:rowOff>
    </xdr:to>
    <xdr:pic>
      <xdr:nvPicPr>
        <xdr:cNvPr id="55" name="Graphic 54" descr="Bar graph with upward trend with solid fill">
          <a:extLst>
            <a:ext uri="{FF2B5EF4-FFF2-40B4-BE49-F238E27FC236}">
              <a16:creationId xmlns:a16="http://schemas.microsoft.com/office/drawing/2014/main" id="{CFDD2630-2255-D632-CF28-97116750F77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67301" y="1709625"/>
          <a:ext cx="428776" cy="428776"/>
        </a:xfrm>
        <a:prstGeom prst="rect">
          <a:avLst/>
        </a:prstGeom>
      </xdr:spPr>
    </xdr:pic>
    <xdr:clientData/>
  </xdr:twoCellAnchor>
  <xdr:twoCellAnchor editAs="oneCell">
    <xdr:from>
      <xdr:col>16</xdr:col>
      <xdr:colOff>278551</xdr:colOff>
      <xdr:row>8</xdr:row>
      <xdr:rowOff>183225</xdr:rowOff>
    </xdr:from>
    <xdr:to>
      <xdr:col>17</xdr:col>
      <xdr:colOff>97727</xdr:colOff>
      <xdr:row>11</xdr:row>
      <xdr:rowOff>40501</xdr:rowOff>
    </xdr:to>
    <xdr:pic>
      <xdr:nvPicPr>
        <xdr:cNvPr id="57" name="Graphic 56" descr="Checkmark with solid fill">
          <a:extLst>
            <a:ext uri="{FF2B5EF4-FFF2-40B4-BE49-F238E27FC236}">
              <a16:creationId xmlns:a16="http://schemas.microsoft.com/office/drawing/2014/main" id="{71010726-B0A2-6B3F-6AEE-ACE9B120E89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032151" y="1707225"/>
          <a:ext cx="428776" cy="428776"/>
        </a:xfrm>
        <a:prstGeom prst="rect">
          <a:avLst/>
        </a:prstGeom>
      </xdr:spPr>
    </xdr:pic>
    <xdr:clientData/>
  </xdr:twoCellAnchor>
  <xdr:twoCellAnchor editAs="oneCell">
    <xdr:from>
      <xdr:col>20</xdr:col>
      <xdr:colOff>333301</xdr:colOff>
      <xdr:row>9</xdr:row>
      <xdr:rowOff>95100</xdr:rowOff>
    </xdr:from>
    <xdr:to>
      <xdr:col>21</xdr:col>
      <xdr:colOff>152477</xdr:colOff>
      <xdr:row>11</xdr:row>
      <xdr:rowOff>142876</xdr:rowOff>
    </xdr:to>
    <xdr:pic>
      <xdr:nvPicPr>
        <xdr:cNvPr id="59" name="Graphic 58" descr="Man with solid fill">
          <a:extLst>
            <a:ext uri="{FF2B5EF4-FFF2-40B4-BE49-F238E27FC236}">
              <a16:creationId xmlns:a16="http://schemas.microsoft.com/office/drawing/2014/main" id="{2D54ED7C-7A0E-CEC1-1B3F-DE0E201A26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525301" y="1809600"/>
          <a:ext cx="428776" cy="428776"/>
        </a:xfrm>
        <a:prstGeom prst="rect">
          <a:avLst/>
        </a:prstGeom>
      </xdr:spPr>
    </xdr:pic>
    <xdr:clientData/>
  </xdr:twoCellAnchor>
  <xdr:twoCellAnchor editAs="oneCell">
    <xdr:from>
      <xdr:col>4</xdr:col>
      <xdr:colOff>314325</xdr:colOff>
      <xdr:row>8</xdr:row>
      <xdr:rowOff>85725</xdr:rowOff>
    </xdr:from>
    <xdr:to>
      <xdr:col>5</xdr:col>
      <xdr:colOff>276224</xdr:colOff>
      <xdr:row>11</xdr:row>
      <xdr:rowOff>85724</xdr:rowOff>
    </xdr:to>
    <xdr:pic>
      <xdr:nvPicPr>
        <xdr:cNvPr id="61" name="Graphic 60" descr="Bus with solid fill">
          <a:extLst>
            <a:ext uri="{FF2B5EF4-FFF2-40B4-BE49-F238E27FC236}">
              <a16:creationId xmlns:a16="http://schemas.microsoft.com/office/drawing/2014/main" id="{D615A87F-BB66-25ED-2546-270183C417F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752725" y="1609725"/>
          <a:ext cx="571499" cy="571499"/>
        </a:xfrm>
        <a:prstGeom prst="rect">
          <a:avLst/>
        </a:prstGeom>
      </xdr:spPr>
    </xdr:pic>
    <xdr:clientData/>
  </xdr:twoCellAnchor>
  <xdr:twoCellAnchor>
    <xdr:from>
      <xdr:col>18</xdr:col>
      <xdr:colOff>476250</xdr:colOff>
      <xdr:row>2</xdr:row>
      <xdr:rowOff>0</xdr:rowOff>
    </xdr:from>
    <xdr:to>
      <xdr:col>25</xdr:col>
      <xdr:colOff>504825</xdr:colOff>
      <xdr:row>7</xdr:row>
      <xdr:rowOff>114300</xdr:rowOff>
    </xdr:to>
    <xdr:sp macro="" textlink="">
      <xdr:nvSpPr>
        <xdr:cNvPr id="62" name="Rectangle: Rounded Corners 61">
          <a:extLst>
            <a:ext uri="{FF2B5EF4-FFF2-40B4-BE49-F238E27FC236}">
              <a16:creationId xmlns:a16="http://schemas.microsoft.com/office/drawing/2014/main" id="{2BC84AFC-866D-A33B-BA90-777BD8D0D3F9}"/>
            </a:ext>
          </a:extLst>
        </xdr:cNvPr>
        <xdr:cNvSpPr/>
      </xdr:nvSpPr>
      <xdr:spPr>
        <a:xfrm>
          <a:off x="11449050" y="381000"/>
          <a:ext cx="4295775" cy="1066800"/>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0</xdr:row>
      <xdr:rowOff>28575</xdr:rowOff>
    </xdr:from>
    <xdr:to>
      <xdr:col>19</xdr:col>
      <xdr:colOff>466725</xdr:colOff>
      <xdr:row>6</xdr:row>
      <xdr:rowOff>161925</xdr:rowOff>
    </xdr:to>
    <xdr:sp macro="" textlink="">
      <xdr:nvSpPr>
        <xdr:cNvPr id="2" name="Scroll: Horizontal 1">
          <a:extLst>
            <a:ext uri="{FF2B5EF4-FFF2-40B4-BE49-F238E27FC236}">
              <a16:creationId xmlns:a16="http://schemas.microsoft.com/office/drawing/2014/main" id="{B49FF792-4693-BCD1-819B-8F5395376C61}"/>
            </a:ext>
          </a:extLst>
        </xdr:cNvPr>
        <xdr:cNvSpPr/>
      </xdr:nvSpPr>
      <xdr:spPr>
        <a:xfrm>
          <a:off x="3086100" y="28575"/>
          <a:ext cx="8963025" cy="1276350"/>
        </a:xfrm>
        <a:prstGeom prst="horizontalScroll">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10</xdr:col>
      <xdr:colOff>571500</xdr:colOff>
      <xdr:row>1</xdr:row>
      <xdr:rowOff>180975</xdr:rowOff>
    </xdr:from>
    <xdr:to>
      <xdr:col>15</xdr:col>
      <xdr:colOff>476250</xdr:colOff>
      <xdr:row>5</xdr:row>
      <xdr:rowOff>38100</xdr:rowOff>
    </xdr:to>
    <xdr:sp macro="" textlink="">
      <xdr:nvSpPr>
        <xdr:cNvPr id="3" name="TextBox 2">
          <a:extLst>
            <a:ext uri="{FF2B5EF4-FFF2-40B4-BE49-F238E27FC236}">
              <a16:creationId xmlns:a16="http://schemas.microsoft.com/office/drawing/2014/main" id="{052B289C-3F86-EC03-F5C6-B9388E0D4C37}"/>
            </a:ext>
          </a:extLst>
        </xdr:cNvPr>
        <xdr:cNvSpPr txBox="1"/>
      </xdr:nvSpPr>
      <xdr:spPr>
        <a:xfrm>
          <a:off x="6667500" y="371475"/>
          <a:ext cx="2952750" cy="619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3200">
              <a:latin typeface="Arial Rounded MT Bold" panose="020F0704030504030204" pitchFamily="34" charset="0"/>
            </a:rPr>
            <a:t>Reports</a:t>
          </a:r>
        </a:p>
      </xdr:txBody>
    </xdr:sp>
    <xdr:clientData/>
  </xdr:twoCellAnchor>
  <xdr:twoCellAnchor editAs="oneCell">
    <xdr:from>
      <xdr:col>10</xdr:col>
      <xdr:colOff>38100</xdr:colOff>
      <xdr:row>7</xdr:row>
      <xdr:rowOff>180976</xdr:rowOff>
    </xdr:from>
    <xdr:to>
      <xdr:col>13</xdr:col>
      <xdr:colOff>1243965</xdr:colOff>
      <xdr:row>13</xdr:row>
      <xdr:rowOff>47625</xdr:rowOff>
    </xdr:to>
    <mc:AlternateContent xmlns:mc="http://schemas.openxmlformats.org/markup-compatibility/2006">
      <mc:Choice xmlns:a14="http://schemas.microsoft.com/office/drawing/2010/main" Requires="a14">
        <xdr:graphicFrame macro="">
          <xdr:nvGraphicFramePr>
            <xdr:cNvPr id="4" name="Month 2">
              <a:extLst>
                <a:ext uri="{FF2B5EF4-FFF2-40B4-BE49-F238E27FC236}">
                  <a16:creationId xmlns:a16="http://schemas.microsoft.com/office/drawing/2014/main" id="{AA463543-CF67-B35E-8B3C-67AE6757EFA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8239125" y="1514476"/>
              <a:ext cx="3291840" cy="10953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1495425</xdr:colOff>
      <xdr:row>7</xdr:row>
      <xdr:rowOff>190499</xdr:rowOff>
    </xdr:from>
    <xdr:to>
      <xdr:col>16</xdr:col>
      <xdr:colOff>752475</xdr:colOff>
      <xdr:row>11</xdr:row>
      <xdr:rowOff>1904</xdr:rowOff>
    </xdr:to>
    <mc:AlternateContent xmlns:mc="http://schemas.openxmlformats.org/markup-compatibility/2006">
      <mc:Choice xmlns:a14="http://schemas.microsoft.com/office/drawing/2010/main" Requires="a14">
        <xdr:graphicFrame macro="">
          <xdr:nvGraphicFramePr>
            <xdr:cNvPr id="5" name="Year 3">
              <a:extLst>
                <a:ext uri="{FF2B5EF4-FFF2-40B4-BE49-F238E27FC236}">
                  <a16:creationId xmlns:a16="http://schemas.microsoft.com/office/drawing/2014/main" id="{6CECF539-16B9-2A1A-C0A9-9EB5D7F41F1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1782425" y="1523999"/>
              <a:ext cx="2286000" cy="64008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0.733888888892" createdVersion="8" refreshedVersion="8" minRefreshableVersion="3" recordCount="63" xr:uid="{AEB06098-1ADC-4794-B7A7-9BF26D259D57}">
  <cacheSource type="worksheet">
    <worksheetSource name="car_rentals"/>
  </cacheSource>
  <cacheFields count="50">
    <cacheField name="id" numFmtId="0">
      <sharedItems containsSemiMixedTypes="0" containsString="0" containsNumber="1" containsInteger="1" minValue="103" maxValue="165"/>
    </cacheField>
    <cacheField name="booking_id" numFmtId="0">
      <sharedItems/>
    </cacheField>
    <cacheField name="customer_name" numFmtId="0">
      <sharedItems count="42">
        <s v="John Doe"/>
        <s v="Maria Santos"/>
        <s v="Pedro Cruz"/>
        <s v="Ana Reyes"/>
        <s v="Carlos Garcia"/>
        <s v="Lisa Tan"/>
        <s v="Miguel Lopez"/>
        <s v="Sofia Martinez"/>
        <s v="David Wong"/>
        <s v="Elena Rivera"/>
        <s v="Robert Kim"/>
        <s v="Carmen Flores"/>
        <s v="James Lee"/>
        <s v="Isabel Ramos"/>
        <s v="Daniel Chen"/>
        <s v="Mark Johnson"/>
        <s v="Sarah Williams"/>
        <s v="Kevin Brown"/>
        <s v="Amanda Davis"/>
        <s v="Ryan Miller"/>
        <s v="Jessica Moore"/>
        <s v="Brian Taylor"/>
        <s v="Nicole Anderson"/>
        <s v="Christopher Thomas"/>
        <s v="Michelle Jackson"/>
        <s v="Steven White"/>
        <s v="Rachel Harris"/>
        <s v="Andrew Martin"/>
        <s v="Laura Thompson"/>
        <s v="Patrick Garcia"/>
        <s v="Jennifer Martinez"/>
        <s v="Timothy Robinson"/>
        <s v="Samantha Clark"/>
        <s v="Gregory Lewis"/>
        <s v="Kimberly Walker"/>
        <s v="test2"/>
        <s v="test3"/>
        <s v="p"/>
        <s v="Juan Dela Cruz"/>
        <s v="Pedro Reyes"/>
        <s v="Ana Garcia"/>
        <s v="Ramon Cruz"/>
      </sharedItems>
    </cacheField>
    <cacheField name="customer_email" numFmtId="0">
      <sharedItems/>
    </cacheField>
    <cacheField name="customer_phone" numFmtId="0">
      <sharedItems/>
    </cacheField>
    <cacheField name="customer_age" numFmtId="0">
      <sharedItems containsSemiMixedTypes="0" containsString="0" containsNumber="1" containsInteger="1" minValue="0" maxValue="45"/>
    </cacheField>
    <cacheField name="Month" numFmtId="0">
      <sharedItems containsSemiMixedTypes="0" containsString="0" containsNumber="1" containsInteger="1" minValue="1" maxValue="12" count="7">
        <n v="1"/>
        <n v="2"/>
        <n v="11"/>
        <n v="12"/>
        <n v="3"/>
        <n v="4"/>
        <n v="5"/>
      </sharedItems>
    </cacheField>
    <cacheField name="Date" numFmtId="0">
      <sharedItems containsSemiMixedTypes="0" containsString="0" containsNumber="1" containsInteger="1" minValue="8" maxValue="30" count="19">
        <n v="20"/>
        <n v="18"/>
        <n v="22"/>
        <n v="19"/>
        <n v="21"/>
        <n v="25"/>
        <n v="23"/>
        <n v="28"/>
        <n v="24"/>
        <n v="30"/>
        <n v="26"/>
        <n v="27"/>
        <n v="10"/>
        <n v="29"/>
        <n v="8"/>
        <n v="15"/>
        <n v="12"/>
        <n v="14"/>
        <n v="16"/>
      </sharedItems>
    </cacheField>
    <cacheField name="Year" numFmtId="0">
      <sharedItems containsSemiMixedTypes="0" containsString="0" containsNumber="1" containsInteger="1" minValue="2025" maxValue="2026" count="2">
        <n v="2026"/>
        <n v="2025"/>
      </sharedItems>
    </cacheField>
    <cacheField name="dropoff_date" numFmtId="14">
      <sharedItems containsSemiMixedTypes="0" containsNonDate="0" containsDate="1" containsString="0" minDate="2025-01-12T00:00:00" maxDate="2026-04-22T00:00:00"/>
    </cacheField>
    <cacheField name="pickup_time" numFmtId="164">
      <sharedItems containsSemiMixedTypes="0" containsNonDate="0" containsDate="1" containsString="0" minDate="1899-12-30T07:00:00" maxDate="1899-12-30T16:45:00"/>
    </cacheField>
    <cacheField name="dropoff_time" numFmtId="164">
      <sharedItems containsSemiMixedTypes="0" containsNonDate="0" containsDate="1" containsString="0" minDate="1899-12-30T08:00:00" maxDate="1899-12-30T18:00:00"/>
    </cacheField>
    <cacheField name="pickup_location" numFmtId="0">
      <sharedItems count="21">
        <s v="MNL - Manila Ninoy Aquino International Airport"/>
        <s v="Makati City Center"/>
        <s v="Bonifacio Global City (BGC)"/>
        <s v="Quezon City - Cubao"/>
        <s v="Pasay City - Mall of Asia"/>
        <s v="CEB - Mactan-Cebu International Airport"/>
        <s v="Mandaluyong City - Ortigas Center"/>
        <s v="MRT Ayala Station"/>
        <s v="Any Hotel in Metro Manila (Hotel Delivery)"/>
        <s v="CRK - Clark International Airport"/>
        <s v="Shangri-La Hotel"/>
        <s v="DVO - Francisco Bangoy International Airport"/>
        <s v="Okada Manila"/>
        <s v="Solaire Resort &amp; Casino"/>
        <s v="LRT Buendia Station"/>
        <s v="MRT Taft Station"/>
        <s v="Manila Office"/>
        <s v="Quezon City Branch"/>
        <s v="Makati Branch"/>
        <s v="Pasig Branch"/>
        <s v="Taguig Branch"/>
      </sharedItems>
    </cacheField>
    <cacheField name="dropoff_location" numFmtId="0">
      <sharedItems count="21">
        <s v="MNL - Manila Ninoy Aquino International Airport"/>
        <s v="Makati City Center"/>
        <s v="Bonifacio Global City (BGC)"/>
        <s v="Quezon City - Cubao"/>
        <s v="Pasay City - Mall of Asia"/>
        <s v="CEB - Mactan-Cebu International Airport"/>
        <s v="Mandaluyong City - Ortigas Center"/>
        <s v="MRT Ayala Station"/>
        <s v="Any Hotel in Metro Manila (Hotel Delivery)"/>
        <s v="CRK - Clark International Airport"/>
        <s v="Shangri-La Hotel"/>
        <s v="DVO - Francisco Bangoy International Airport"/>
        <s v="Okada Manila"/>
        <s v="Solaire Resort &amp; Casino"/>
        <s v="LRT Buendia Station"/>
        <s v="PITX - Parañaque Integrated Terminal Exchange"/>
        <s v="Manila Office"/>
        <s v="Quezon City Branch"/>
        <s v="Makati Branch"/>
        <s v="Pasig Branch"/>
        <s v="Taguig Branch"/>
      </sharedItems>
    </cacheField>
    <cacheField name="car_type" numFmtId="0">
      <sharedItems count="7">
        <s v="Sedan"/>
        <s v="SUV"/>
        <s v="Luxury"/>
        <s v="Compact"/>
        <s v="Van"/>
        <s v="Electric"/>
        <s v="Sports"/>
      </sharedItems>
    </cacheField>
    <cacheField name="car_model" numFmtId="0">
      <sharedItems count="28">
        <s v="Toyota Camry"/>
        <s v="Honda CR-V"/>
        <s v="BMW 5 Series"/>
        <s v="Toyota Vios"/>
        <s v="Toyota Hiace"/>
        <s v="Tesla Model 3 or Similar"/>
        <s v="Honda Accord"/>
        <s v="Mitsubishi Montero Sport"/>
        <s v="Mercedes-Benz E-Class"/>
        <s v="Mazda 3"/>
        <s v="Nissan Urvan"/>
        <s v="Hyundai Elantra"/>
        <s v="Ford Everest"/>
        <s v="Nissan Leaf"/>
        <s v="Audi A6"/>
        <s v="Honda Civic"/>
        <s v="Toyota Corolla"/>
        <s v="Mazda CX-5"/>
        <s v="Nissan Altima"/>
        <s v="Ford Mustang"/>
        <s v="BMW 3 Series"/>
        <s v="Chevrolet Malibu"/>
        <s v="Volkswagen Jetta"/>
        <s v="Jeep Wrangler"/>
        <s v="Tesla Model 3"/>
        <s v="Mercedes-Benz C-Class"/>
        <s v="Audi A4"/>
        <s v="Kia Optima"/>
      </sharedItems>
    </cacheField>
    <cacheField name="car_image" numFmtId="0">
      <sharedItems containsBlank="1"/>
    </cacheField>
    <cacheField name="rental_days" numFmtId="0">
      <sharedItems containsSemiMixedTypes="0" containsString="0" containsNumber="1" containsInteger="1" minValue="2" maxValue="7"/>
    </cacheField>
    <cacheField name="daily_rate" numFmtId="0">
      <sharedItems containsSemiMixedTypes="0" containsString="0" containsNumber="1" containsInteger="1" minValue="1500" maxValue="5500"/>
    </cacheField>
    <cacheField name="subtotal" numFmtId="0">
      <sharedItems containsSemiMixedTypes="0" containsString="0" containsNumber="1" containsInteger="1" minValue="0" maxValue="25550"/>
    </cacheField>
    <cacheField name="insurance_fee" numFmtId="0">
      <sharedItems containsSemiMixedTypes="0" containsString="0" containsNumber="1" containsInteger="1" minValue="0" maxValue="2700"/>
    </cacheField>
    <cacheField name="additional_fees" numFmtId="0">
      <sharedItems containsSemiMixedTypes="0" containsString="0" containsNumber="1" containsInteger="1" minValue="0" maxValue="1400"/>
    </cacheField>
    <cacheField name="total_amount" numFmtId="0">
      <sharedItems containsSemiMixedTypes="0" containsString="0" containsNumber="1" containsInteger="1" minValue="4800" maxValue="26950"/>
    </cacheField>
    <cacheField name="promo_code" numFmtId="0">
      <sharedItems containsBlank="1"/>
    </cacheField>
    <cacheField name="discount_amount" numFmtId="0">
      <sharedItems containsSemiMixedTypes="0" containsString="0" containsNumber="1" containsInteger="1" minValue="0" maxValue="0"/>
    </cacheField>
    <cacheField name="agent_id" numFmtId="0">
      <sharedItems containsNonDate="0" containsString="0" containsBlank="1"/>
    </cacheField>
    <cacheField name="agent_commission" numFmtId="0">
      <sharedItems containsSemiMixedTypes="0" containsString="0" containsNumber="1" containsInteger="1" minValue="0" maxValue="0"/>
    </cacheField>
    <cacheField name="status" numFmtId="0">
      <sharedItems count="3">
        <s v="Completed"/>
        <s v="Active"/>
        <s v="Cancelled"/>
      </sharedItems>
    </cacheField>
    <cacheField name="admin_notes" numFmtId="0">
      <sharedItems containsNonDate="0" containsString="0" containsBlank="1"/>
    </cacheField>
    <cacheField name="payment_method" numFmtId="0">
      <sharedItems containsBlank="1"/>
    </cacheField>
    <cacheField name="payment_status" numFmtId="0">
      <sharedItems/>
    </cacheField>
    <cacheField name="created_at" numFmtId="22">
      <sharedItems containsSemiMixedTypes="0" containsNonDate="0" containsDate="1" containsString="0" minDate="2025-01-03T09:00:00" maxDate="2026-03-25T16:00:00"/>
    </cacheField>
    <cacheField name="updated_at" numFmtId="22">
      <sharedItems containsSemiMixedTypes="0" containsNonDate="0" containsDate="1" containsString="0" minDate="2026-02-17T15:06:12" maxDate="2026-02-17T16:17:39"/>
    </cacheField>
    <cacheField name="license_number" numFmtId="0">
      <sharedItems/>
    </cacheField>
    <cacheField name="license_expiry" numFmtId="14">
      <sharedItems containsNonDate="0" containsDate="1" containsString="0" containsBlank="1" minDate="2026-10-21T00:00:00" maxDate="2030-07-04T00:00:00"/>
    </cacheField>
    <cacheField name="actual_return_date" numFmtId="22">
      <sharedItems containsNonDate="0" containsDate="1" containsString="0" containsBlank="1" minDate="2026-02-17T15:24:34" maxDate="2026-02-17T15:53:58"/>
    </cacheField>
    <cacheField name="payment_proof" numFmtId="0">
      <sharedItems containsBlank="1"/>
    </cacheField>
    <cacheField name="invoice_number" numFmtId="0">
      <sharedItems containsBlank="1"/>
    </cacheField>
    <cacheField name="receipt_file" numFmtId="0">
      <sharedItems containsBlank="1"/>
    </cacheField>
    <cacheField name="payment_verified_by" numFmtId="0">
      <sharedItems containsBlank="1"/>
    </cacheField>
    <cacheField name="payment_verified_at" numFmtId="22">
      <sharedItems containsNonDate="0" containsDate="1" containsString="0" containsBlank="1" minDate="2025-11-05T10:00:00" maxDate="2026-03-25T16:30:00"/>
    </cacheField>
    <cacheField name="payment_type" numFmtId="0">
      <sharedItems count="2">
        <s v="Full Payment"/>
        <s v="Downpayment"/>
      </sharedItems>
    </cacheField>
    <cacheField name="amount_paid" numFmtId="0">
      <sharedItems containsSemiMixedTypes="0" containsString="0" containsNumber="1" containsInteger="1" minValue="4800" maxValue="24400"/>
    </cacheField>
    <cacheField name="remaining_balance" numFmtId="0">
      <sharedItems containsSemiMixedTypes="0" containsString="0" containsNumber="1" containsInteger="1" minValue="0" maxValue="13475"/>
    </cacheField>
    <cacheField name="refund_amount" numFmtId="0">
      <sharedItems containsSemiMixedTypes="0" containsString="0" containsNumber="1" containsInteger="1" minValue="0" maxValue="0"/>
    </cacheField>
    <cacheField name="actual_rental_days" numFmtId="0">
      <sharedItems containsSemiMixedTypes="0" containsString="0" containsNumber="1" containsInteger="1" minValue="0" maxValue="56"/>
    </cacheField>
    <cacheField name="pickup_status" numFmtId="0">
      <sharedItems/>
    </cacheField>
    <cacheField name="pickup_confirmed_at" numFmtId="22">
      <sharedItems containsNonDate="0" containsDate="1" containsString="0" containsBlank="1" minDate="2026-02-17T15:53:51" maxDate="2026-02-17T15:53:51"/>
    </cacheField>
    <cacheField name="return_pickup_status" numFmtId="0">
      <sharedItems/>
    </cacheField>
    <cacheField name="return_pickup_confirmed_at" numFmtId="22">
      <sharedItems containsNonDate="0" containsString="0" containsBlank="1"/>
    </cacheField>
  </cacheFields>
  <extLst>
    <ext xmlns:x14="http://schemas.microsoft.com/office/spreadsheetml/2009/9/main" uri="{725AE2AE-9491-48be-B2B4-4EB974FC3084}">
      <x14:pivotCacheDefinition pivotCacheId="6836816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0.733890509262" createdVersion="8" refreshedVersion="8" minRefreshableVersion="3" recordCount="15" xr:uid="{E52AA4CA-7EAB-4E8D-B136-112E4858AEEC}">
  <cacheSource type="worksheet">
    <worksheetSource name="car_reviews"/>
  </cacheSource>
  <cacheFields count="11">
    <cacheField name="id" numFmtId="0">
      <sharedItems containsSemiMixedTypes="0" containsString="0" containsNumber="1" containsInteger="1" minValue="19" maxValue="33"/>
    </cacheField>
    <cacheField name="booking_id" numFmtId="0">
      <sharedItems/>
    </cacheField>
    <cacheField name="car_model" numFmtId="0">
      <sharedItems count="12">
        <s v="Toyota Camry"/>
        <s v="Toyota Vios"/>
        <s v="Honda Accord"/>
        <s v="Mazda 3"/>
        <s v="Ford Everest"/>
        <s v="Honda CR-V"/>
        <s v="Toyota Hiace"/>
        <s v="BMW 5 Series"/>
        <s v="Mitsubishi Montero Sport"/>
        <s v="Tesla Model 3 or Similar"/>
        <s v="Nissan Urvan"/>
        <s v="Mercedes-Benz E-Class"/>
      </sharedItems>
    </cacheField>
    <cacheField name="customer_email" numFmtId="0">
      <sharedItems/>
    </cacheField>
    <cacheField name="customer_name" numFmtId="0">
      <sharedItems count="15">
        <s v="John Doe"/>
        <s v="Ana Reyes"/>
        <s v="Miguel Lopez"/>
        <s v="Elena Rivera"/>
        <s v="James Lee"/>
        <s v="Mark Johnson"/>
        <s v="Sarah Williams"/>
        <s v="Kevin Brown"/>
        <s v="Amanda Davis"/>
        <s v="Ryan Miller"/>
        <s v="Jessica Moore"/>
        <s v="Brian Taylor"/>
        <s v="Nicole Anderson"/>
        <s v="Christopher Thomas"/>
        <s v="Michelle Jackson"/>
      </sharedItems>
    </cacheField>
    <cacheField name="rating" numFmtId="0">
      <sharedItems containsSemiMixedTypes="0" containsString="0" containsNumber="1" containsInteger="1" minValue="3" maxValue="5" count="3">
        <n v="4"/>
        <n v="3"/>
        <n v="5"/>
      </sharedItems>
    </cacheField>
    <cacheField name="review_text" numFmtId="0">
      <sharedItems/>
    </cacheField>
    <cacheField name="Month" numFmtId="0">
      <sharedItems containsSemiMixedTypes="0" containsString="0" containsNumber="1" containsInteger="1" minValue="1" maxValue="12"/>
    </cacheField>
    <cacheField name="date" numFmtId="0">
      <sharedItems containsSemiMixedTypes="0" containsString="0" containsNumber="1" containsInteger="1" minValue="3" maxValue="30"/>
    </cacheField>
    <cacheField name="Year" numFmtId="0">
      <sharedItems containsSemiMixedTypes="0" containsString="0" containsNumber="1" containsInteger="1" minValue="2025" maxValue="2026" count="2">
        <n v="2026"/>
        <n v="2025"/>
      </sharedItems>
    </cacheField>
    <cacheField name="status" numFmtId="0">
      <sharedItems/>
    </cacheField>
  </cacheFields>
  <extLst>
    <ext xmlns:x14="http://schemas.microsoft.com/office/spreadsheetml/2009/9/main" uri="{725AE2AE-9491-48be-B2B4-4EB974FC3084}">
      <x14:pivotCacheDefinition pivotCacheId="15542439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0.843420254627" createdVersion="8" refreshedVersion="8" minRefreshableVersion="3" recordCount="7" xr:uid="{D472A468-2728-4AEA-B22D-37CEC9EB917A}">
  <cacheSource type="worksheet">
    <worksheetSource name="car_sales"/>
  </cacheSource>
  <cacheFields count="9">
    <cacheField name="id" numFmtId="0">
      <sharedItems containsSemiMixedTypes="0" containsString="0" containsNumber="1" containsInteger="1" minValue="5" maxValue="11"/>
    </cacheField>
    <cacheField name="car_model" numFmtId="0">
      <sharedItems count="7">
        <s v="Ford Mustang or Similar"/>
        <s v="Volkswagen Jetta "/>
        <s v="BMW X7 or Similar"/>
        <s v="Honda Civic"/>
        <s v="Hyundai Ioniq 5 "/>
        <s v="Mitsubishi Mirage"/>
        <s v="Mazda 3"/>
      </sharedItems>
    </cacheField>
    <cacheField name="original_price" numFmtId="0">
      <sharedItems containsSemiMixedTypes="0" containsString="0" containsNumber="1" containsInteger="1" minValue="2650" maxValue="5878"/>
    </cacheField>
    <cacheField name="sale_price" numFmtId="0">
      <sharedItems containsSemiMixedTypes="0" containsString="0" containsNumber="1" minValue="2040.5" maxValue="4408.5"/>
    </cacheField>
    <cacheField name="discount_percentage" numFmtId="0">
      <sharedItems containsSemiMixedTypes="0" containsString="0" containsNumber="1" containsInteger="1" minValue="12" maxValue="25"/>
    </cacheField>
    <cacheField name="sale_start" numFmtId="14">
      <sharedItems containsSemiMixedTypes="0" containsNonDate="0" containsDate="1" containsString="0" minDate="2026-02-09T00:00:00" maxDate="2026-02-14T00:00:00"/>
    </cacheField>
    <cacheField name="sale_end" numFmtId="14">
      <sharedItems containsSemiMixedTypes="0" containsNonDate="0" containsDate="1" containsString="0" minDate="2026-02-10T00:00:00" maxDate="2026-03-13T00:00:00"/>
    </cacheField>
    <cacheField name="status" numFmtId="0">
      <sharedItems count="1">
        <s v="Active"/>
      </sharedItems>
    </cacheField>
    <cacheField name="created_at" numFmtId="22">
      <sharedItems containsSemiMixedTypes="0" containsNonDate="0" containsDate="1" containsString="0" minDate="2026-02-09T12:52:25" maxDate="2026-02-13T11:03: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03"/>
    <s v="CAR-20260115-A1B2C3"/>
    <x v="0"/>
    <s v="john.doe@email.com"/>
    <s v="+63 917 123 4567"/>
    <n v="35"/>
    <x v="0"/>
    <x v="0"/>
    <x v="0"/>
    <d v="2026-01-25T00:00:00"/>
    <d v="1899-12-30T10:00:00"/>
    <d v="1899-12-30T10:00:00"/>
    <x v="0"/>
    <x v="0"/>
    <x v="0"/>
    <x v="0"/>
    <m/>
    <n v="5"/>
    <n v="2500"/>
    <n v="12500"/>
    <n v="1500"/>
    <n v="0"/>
    <n v="14000"/>
    <m/>
    <n v="0"/>
    <m/>
    <n v="0"/>
    <x v="0"/>
    <m/>
    <s v="GCash"/>
    <s v="Paid"/>
    <d v="2026-01-15T10:30:00"/>
    <d v="2026-02-17T15:06:12"/>
    <s v="N01-23-456789"/>
    <d v="2028-12-31T00:00:00"/>
    <m/>
    <m/>
    <s v="INV-20260115-0001"/>
    <s v="REC-20260115-0001"/>
    <s v="Gabriel"/>
    <d v="2026-01-15T11:00:00"/>
    <x v="0"/>
    <n v="14000"/>
    <n v="0"/>
    <n v="0"/>
    <n v="0"/>
    <s v="Pending"/>
    <m/>
    <s v="Pending"/>
    <m/>
  </r>
  <r>
    <n v="104"/>
    <s v="CAR-20260116-D4E5F6"/>
    <x v="1"/>
    <s v="maria.santos@email.com"/>
    <s v="+63 918 234 5678"/>
    <n v="28"/>
    <x v="1"/>
    <x v="1"/>
    <x v="0"/>
    <d v="2026-02-22T00:00:00"/>
    <d v="1899-12-30T09:00:00"/>
    <d v="1899-12-30T09:00:00"/>
    <x v="1"/>
    <x v="1"/>
    <x v="1"/>
    <x v="1"/>
    <m/>
    <n v="4"/>
    <n v="3500"/>
    <n v="14000"/>
    <n v="1200"/>
    <n v="0"/>
    <n v="15200"/>
    <m/>
    <n v="0"/>
    <m/>
    <n v="0"/>
    <x v="1"/>
    <m/>
    <s v="PayPal"/>
    <s v="Paid"/>
    <d v="2026-01-16T11:00:00"/>
    <d v="2026-02-17T15:06:12"/>
    <s v="M02-34-567890"/>
    <d v="2029-06-30T00:00:00"/>
    <m/>
    <m/>
    <s v="INV-20260116-0002"/>
    <s v="REC-20260116-0002"/>
    <s v="Gabriel"/>
    <d v="2026-01-16T12:00:00"/>
    <x v="1"/>
    <n v="7600"/>
    <n v="7600"/>
    <n v="0"/>
    <n v="0"/>
    <s v="Pending"/>
    <m/>
    <s v="Pending"/>
    <m/>
  </r>
  <r>
    <n v="105"/>
    <s v="CAR-20260117-G7H8I9"/>
    <x v="2"/>
    <s v="pedro.cruz@email.com"/>
    <s v="+63 919 345 6789"/>
    <n v="42"/>
    <x v="1"/>
    <x v="0"/>
    <x v="0"/>
    <d v="2026-02-23T00:00:00"/>
    <d v="1899-12-30T14:00:00"/>
    <d v="1899-12-30T14:00:00"/>
    <x v="2"/>
    <x v="2"/>
    <x v="2"/>
    <x v="2"/>
    <m/>
    <n v="3"/>
    <n v="5000"/>
    <n v="15000"/>
    <n v="2700"/>
    <n v="0"/>
    <n v="17700"/>
    <m/>
    <n v="0"/>
    <m/>
    <n v="0"/>
    <x v="2"/>
    <m/>
    <s v="Credit Card"/>
    <s v="Paid"/>
    <d v="2026-01-17T09:15:00"/>
    <d v="2026-02-17T15:07:43"/>
    <s v="P03-45-678901"/>
    <d v="2027-11-15T00:00:00"/>
    <m/>
    <m/>
    <s v="INV-20260117-0003"/>
    <s v="REC-20260117-0003"/>
    <s v="Gabriel"/>
    <d v="2026-01-17T10:00:00"/>
    <x v="0"/>
    <n v="17700"/>
    <n v="0"/>
    <n v="0"/>
    <n v="0"/>
    <s v="Pending"/>
    <m/>
    <s v="Pending"/>
    <m/>
  </r>
  <r>
    <n v="106"/>
    <s v="CAR-20260118-J1K2L3"/>
    <x v="3"/>
    <s v="ana.reyes@email.com"/>
    <s v="+63 920 456 7890"/>
    <n v="31"/>
    <x v="0"/>
    <x v="2"/>
    <x v="0"/>
    <d v="2026-01-27T00:00:00"/>
    <d v="1899-12-30T11:00:00"/>
    <d v="1899-12-30T11:00:00"/>
    <x v="3"/>
    <x v="3"/>
    <x v="3"/>
    <x v="3"/>
    <m/>
    <n v="5"/>
    <n v="1800"/>
    <n v="9000"/>
    <n v="1500"/>
    <n v="0"/>
    <n v="10500"/>
    <m/>
    <n v="0"/>
    <m/>
    <n v="0"/>
    <x v="0"/>
    <m/>
    <s v="GCash"/>
    <s v="Paid"/>
    <d v="2026-01-18T14:20:00"/>
    <d v="2026-02-17T15:06:12"/>
    <s v="A04-56-789012"/>
    <d v="2028-08-20T00:00:00"/>
    <m/>
    <m/>
    <s v="INV-20260118-0004"/>
    <s v="REC-20260118-0004"/>
    <s v="Gabriel"/>
    <d v="2026-01-18T15:00:00"/>
    <x v="1"/>
    <n v="10500"/>
    <n v="0"/>
    <n v="0"/>
    <n v="0"/>
    <s v="Pending"/>
    <m/>
    <s v="Pending"/>
    <m/>
  </r>
  <r>
    <n v="107"/>
    <s v="CAR-20260119-M4N5O6"/>
    <x v="4"/>
    <s v="carlos.garcia@email.com"/>
    <s v="+63 921 567 8901"/>
    <n v="38"/>
    <x v="1"/>
    <x v="3"/>
    <x v="0"/>
    <d v="2026-02-24T00:00:00"/>
    <d v="1899-12-30T08:00:00"/>
    <d v="1899-12-30T08:00:00"/>
    <x v="4"/>
    <x v="4"/>
    <x v="4"/>
    <x v="4"/>
    <m/>
    <n v="5"/>
    <n v="4000"/>
    <n v="20000"/>
    <n v="1500"/>
    <n v="0"/>
    <n v="21500"/>
    <m/>
    <n v="0"/>
    <m/>
    <n v="0"/>
    <x v="1"/>
    <m/>
    <s v="Debit Card"/>
    <s v="Paid"/>
    <d v="2026-01-19T08:45:00"/>
    <d v="2026-02-17T15:06:12"/>
    <s v="C05-67-890123"/>
    <d v="2029-03-10T00:00:00"/>
    <m/>
    <m/>
    <s v="INV-20260119-0005"/>
    <s v="REC-20260119-0005"/>
    <s v="Gabriel"/>
    <d v="2026-01-19T09:30:00"/>
    <x v="0"/>
    <n v="21500"/>
    <n v="0"/>
    <n v="0"/>
    <n v="0"/>
    <s v="Pending"/>
    <m/>
    <s v="Pending"/>
    <m/>
  </r>
  <r>
    <n v="108"/>
    <s v="CAR-20260120-P7Q8R9"/>
    <x v="5"/>
    <s v="lisa.tan@email.com"/>
    <s v="+63 922 678 9012"/>
    <n v="29"/>
    <x v="1"/>
    <x v="4"/>
    <x v="0"/>
    <d v="2026-02-25T00:00:00"/>
    <d v="1899-12-30T13:00:00"/>
    <d v="1899-12-30T13:00:00"/>
    <x v="5"/>
    <x v="5"/>
    <x v="5"/>
    <x v="5"/>
    <m/>
    <n v="4"/>
    <n v="3800"/>
    <n v="15200"/>
    <n v="1200"/>
    <n v="0"/>
    <n v="16400"/>
    <m/>
    <n v="0"/>
    <m/>
    <n v="0"/>
    <x v="2"/>
    <m/>
    <s v="PayPal"/>
    <s v="Paid"/>
    <d v="2026-01-20T13:30:00"/>
    <d v="2026-02-17T15:07:41"/>
    <s v="L06-78-901234"/>
    <d v="2028-05-25T00:00:00"/>
    <m/>
    <m/>
    <s v="INV-20260120-0006"/>
    <s v="REC-20260120-0006"/>
    <s v="Gabriel"/>
    <d v="2026-01-20T14:00:00"/>
    <x v="1"/>
    <n v="8200"/>
    <n v="8200"/>
    <n v="0"/>
    <n v="0"/>
    <s v="Pending"/>
    <m/>
    <s v="Pending"/>
    <m/>
  </r>
  <r>
    <n v="109"/>
    <s v="CAR-20260121-S1T2U3"/>
    <x v="6"/>
    <s v="miguel.lopez@email.com"/>
    <s v="+63 923 789 0123"/>
    <n v="45"/>
    <x v="0"/>
    <x v="5"/>
    <x v="0"/>
    <d v="2026-01-28T00:00:00"/>
    <d v="1899-12-30T10:30:00"/>
    <d v="1899-12-30T10:30:00"/>
    <x v="6"/>
    <x v="6"/>
    <x v="0"/>
    <x v="6"/>
    <m/>
    <n v="3"/>
    <n v="2800"/>
    <n v="8400"/>
    <n v="900"/>
    <n v="0"/>
    <n v="9300"/>
    <m/>
    <n v="0"/>
    <m/>
    <n v="0"/>
    <x v="0"/>
    <m/>
    <s v="GCash"/>
    <s v="Paid"/>
    <d v="2026-01-21T10:00:00"/>
    <d v="2026-02-17T15:06:12"/>
    <s v="M07-89-012345"/>
    <d v="2027-12-31T00:00:00"/>
    <m/>
    <m/>
    <s v="INV-20260121-0007"/>
    <s v="REC-20260121-0007"/>
    <s v="Gabriel"/>
    <d v="2026-01-21T11:00:00"/>
    <x v="0"/>
    <n v="9300"/>
    <n v="0"/>
    <n v="0"/>
    <n v="0"/>
    <s v="Pending"/>
    <m/>
    <s v="Pending"/>
    <m/>
  </r>
  <r>
    <n v="110"/>
    <s v="CAR-20260122-V4W5X6"/>
    <x v="7"/>
    <s v="sofia.martinez@email.com"/>
    <s v="+63 924 890 1234"/>
    <n v="33"/>
    <x v="1"/>
    <x v="2"/>
    <x v="0"/>
    <d v="2026-02-26T00:00:00"/>
    <d v="1899-12-30T15:00:00"/>
    <d v="1899-12-30T15:00:00"/>
    <x v="7"/>
    <x v="7"/>
    <x v="1"/>
    <x v="7"/>
    <m/>
    <n v="4"/>
    <n v="3600"/>
    <n v="14400"/>
    <n v="1200"/>
    <n v="0"/>
    <n v="15600"/>
    <m/>
    <n v="0"/>
    <m/>
    <n v="0"/>
    <x v="1"/>
    <m/>
    <s v="Credit Card"/>
    <s v="Paid"/>
    <d v="2026-01-22T15:45:00"/>
    <d v="2026-02-17T15:06:12"/>
    <s v="S08-90-123456"/>
    <d v="2029-07-15T00:00:00"/>
    <m/>
    <m/>
    <s v="INV-20260122-0008"/>
    <s v="REC-20260122-0008"/>
    <s v="Gabriel"/>
    <d v="2026-01-22T16:00:00"/>
    <x v="1"/>
    <n v="7800"/>
    <n v="7800"/>
    <n v="0"/>
    <n v="0"/>
    <s v="Pending"/>
    <m/>
    <s v="Pending"/>
    <m/>
  </r>
  <r>
    <n v="111"/>
    <s v="CAR-20260123-Y7Z8A9"/>
    <x v="8"/>
    <s v="david.wong@email.com"/>
    <s v="+63 925 901 2345"/>
    <n v="40"/>
    <x v="1"/>
    <x v="6"/>
    <x v="0"/>
    <d v="2026-02-27T00:00:00"/>
    <d v="1899-12-30T09:30:00"/>
    <d v="1899-12-30T09:30:00"/>
    <x v="8"/>
    <x v="8"/>
    <x v="2"/>
    <x v="8"/>
    <m/>
    <n v="4"/>
    <n v="5500"/>
    <n v="22000"/>
    <n v="2400"/>
    <n v="0"/>
    <n v="24400"/>
    <m/>
    <n v="0"/>
    <m/>
    <n v="0"/>
    <x v="2"/>
    <m/>
    <s v="PayPal"/>
    <s v="Paid"/>
    <d v="2026-01-23T09:30:00"/>
    <d v="2026-02-17T15:07:39"/>
    <s v="D09-01-234567"/>
    <d v="2028-10-20T00:00:00"/>
    <m/>
    <m/>
    <s v="INV-20260123-0009"/>
    <s v="REC-20260123-0009"/>
    <s v="Gabriel"/>
    <d v="2026-01-23T10:00:00"/>
    <x v="0"/>
    <n v="24400"/>
    <n v="0"/>
    <n v="0"/>
    <n v="0"/>
    <s v="Pending"/>
    <m/>
    <s v="Pending"/>
    <m/>
  </r>
  <r>
    <n v="112"/>
    <s v="CAR-20260124-B1C2D3"/>
    <x v="9"/>
    <s v="elena.rivera@email.com"/>
    <s v="+63 926 012 3456"/>
    <n v="27"/>
    <x v="0"/>
    <x v="7"/>
    <x v="0"/>
    <d v="2026-02-02T00:00:00"/>
    <d v="1899-12-30T12:00:00"/>
    <d v="1899-12-30T12:00:00"/>
    <x v="9"/>
    <x v="9"/>
    <x v="3"/>
    <x v="9"/>
    <m/>
    <n v="5"/>
    <n v="2200"/>
    <n v="11000"/>
    <n v="1500"/>
    <n v="0"/>
    <n v="12500"/>
    <m/>
    <n v="0"/>
    <m/>
    <n v="0"/>
    <x v="0"/>
    <m/>
    <s v="GCash"/>
    <s v="Paid"/>
    <d v="2026-01-24T11:15:00"/>
    <d v="2026-02-17T15:06:12"/>
    <s v="E10-12-345678"/>
    <d v="2029-04-30T00:00:00"/>
    <m/>
    <m/>
    <s v="INV-20260124-0010"/>
    <s v="REC-20260124-0010"/>
    <s v="Gabriel"/>
    <d v="2026-01-24T12:00:00"/>
    <x v="1"/>
    <n v="12500"/>
    <n v="0"/>
    <n v="0"/>
    <n v="0"/>
    <s v="Pending"/>
    <m/>
    <s v="Pending"/>
    <m/>
  </r>
  <r>
    <n v="113"/>
    <s v="CAR-20260125-E4F5G6"/>
    <x v="10"/>
    <s v="robert.kim@email.com"/>
    <s v="+63 927 123 4567"/>
    <n v="36"/>
    <x v="1"/>
    <x v="8"/>
    <x v="0"/>
    <d v="2026-02-28T00:00:00"/>
    <d v="1899-12-30T14:30:00"/>
    <d v="1899-12-30T14:30:00"/>
    <x v="10"/>
    <x v="10"/>
    <x v="4"/>
    <x v="10"/>
    <m/>
    <n v="4"/>
    <n v="3800"/>
    <n v="15200"/>
    <n v="1200"/>
    <n v="0"/>
    <n v="16400"/>
    <m/>
    <n v="0"/>
    <m/>
    <n v="0"/>
    <x v="1"/>
    <m/>
    <s v="Debit Card"/>
    <s v="Paid"/>
    <d v="2026-01-25T14:00:00"/>
    <d v="2026-02-17T15:06:12"/>
    <s v="R11-23-456789"/>
    <d v="2028-09-15T00:00:00"/>
    <m/>
    <m/>
    <s v="INV-20260125-0011"/>
    <s v="REC-20260125-0011"/>
    <s v="Gabriel"/>
    <d v="2026-01-25T15:00:00"/>
    <x v="0"/>
    <n v="16400"/>
    <n v="0"/>
    <n v="0"/>
    <n v="0"/>
    <s v="Pending"/>
    <m/>
    <s v="Pending"/>
    <m/>
  </r>
  <r>
    <n v="114"/>
    <s v="CAR-20260126-H7I8J9"/>
    <x v="11"/>
    <s v="carmen.flores@email.com"/>
    <s v="+63 928 234 5678"/>
    <n v="32"/>
    <x v="1"/>
    <x v="5"/>
    <x v="0"/>
    <d v="2026-03-01T00:00:00"/>
    <d v="1899-12-30T11:00:00"/>
    <d v="1899-12-30T11:00:00"/>
    <x v="11"/>
    <x v="11"/>
    <x v="0"/>
    <x v="11"/>
    <m/>
    <n v="4"/>
    <n v="2400"/>
    <n v="9600"/>
    <n v="1200"/>
    <n v="0"/>
    <n v="10800"/>
    <m/>
    <n v="0"/>
    <m/>
    <n v="0"/>
    <x v="2"/>
    <m/>
    <s v="PayPal"/>
    <s v="Paid"/>
    <d v="2026-01-26T10:45:00"/>
    <d v="2026-02-17T15:07:36"/>
    <s v="C12-34-567890"/>
    <d v="2029-01-20T00:00:00"/>
    <m/>
    <m/>
    <s v="INV-20260126-0012"/>
    <s v="REC-20260126-0012"/>
    <s v="Gabriel"/>
    <d v="2026-01-26T11:30:00"/>
    <x v="1"/>
    <n v="5400"/>
    <n v="5400"/>
    <n v="0"/>
    <n v="0"/>
    <s v="Pending"/>
    <m/>
    <s v="Pending"/>
    <m/>
  </r>
  <r>
    <n v="115"/>
    <s v="CAR-20260127-K1L2M3"/>
    <x v="12"/>
    <s v="james.lee@email.com"/>
    <s v="+63 929 345 6789"/>
    <n v="41"/>
    <x v="0"/>
    <x v="9"/>
    <x v="0"/>
    <d v="2026-02-03T00:00:00"/>
    <d v="1899-12-30T13:45:00"/>
    <d v="1899-12-30T13:45:00"/>
    <x v="12"/>
    <x v="12"/>
    <x v="1"/>
    <x v="12"/>
    <m/>
    <n v="4"/>
    <n v="3700"/>
    <n v="14800"/>
    <n v="1200"/>
    <n v="0"/>
    <n v="16000"/>
    <m/>
    <n v="0"/>
    <m/>
    <n v="0"/>
    <x v="0"/>
    <m/>
    <s v="Credit Card"/>
    <s v="Paid"/>
    <d v="2026-01-27T13:20:00"/>
    <d v="2026-02-17T15:06:12"/>
    <s v="J13-45-678901"/>
    <d v="2027-10-31T00:00:00"/>
    <m/>
    <m/>
    <s v="INV-20260127-0013"/>
    <s v="REC-20260127-0013"/>
    <s v="Gabriel"/>
    <d v="2026-01-27T14:00:00"/>
    <x v="0"/>
    <n v="16000"/>
    <n v="0"/>
    <n v="0"/>
    <n v="0"/>
    <s v="Pending"/>
    <m/>
    <s v="Pending"/>
    <m/>
  </r>
  <r>
    <n v="116"/>
    <s v="CAR-20260128-N4O5P6"/>
    <x v="13"/>
    <s v="isabel.ramos@email.com"/>
    <s v="+63 930 456 7890"/>
    <n v="30"/>
    <x v="1"/>
    <x v="10"/>
    <x v="0"/>
    <d v="2026-03-02T00:00:00"/>
    <d v="1899-12-30T09:15:00"/>
    <d v="1899-12-30T09:15:00"/>
    <x v="13"/>
    <x v="13"/>
    <x v="5"/>
    <x v="13"/>
    <m/>
    <n v="4"/>
    <n v="3500"/>
    <n v="14000"/>
    <n v="1200"/>
    <n v="0"/>
    <n v="15200"/>
    <m/>
    <n v="0"/>
    <m/>
    <n v="0"/>
    <x v="1"/>
    <m/>
    <s v="GCash"/>
    <s v="Paid"/>
    <d v="2026-01-28T09:00:00"/>
    <d v="2026-02-17T15:06:12"/>
    <s v="I14-56-789012"/>
    <d v="2028-11-30T00:00:00"/>
    <m/>
    <m/>
    <s v="INV-20260128-0014"/>
    <s v="REC-20260128-0014"/>
    <s v="Gabriel"/>
    <d v="2026-01-28T10:00:00"/>
    <x v="1"/>
    <n v="7600"/>
    <n v="7600"/>
    <n v="0"/>
    <n v="0"/>
    <s v="Pending"/>
    <m/>
    <s v="Pending"/>
    <m/>
  </r>
  <r>
    <n v="117"/>
    <s v="CAR-20260129-Q7R8S9"/>
    <x v="14"/>
    <s v="daniel.chen@email.com"/>
    <s v="+63 931 567 8901"/>
    <n v="37"/>
    <x v="1"/>
    <x v="11"/>
    <x v="0"/>
    <d v="2026-03-03T00:00:00"/>
    <d v="1899-12-30T16:45:00"/>
    <d v="1899-12-30T16:45:00"/>
    <x v="14"/>
    <x v="14"/>
    <x v="2"/>
    <x v="14"/>
    <m/>
    <n v="4"/>
    <n v="5200"/>
    <n v="20800"/>
    <n v="2400"/>
    <n v="0"/>
    <n v="23200"/>
    <m/>
    <n v="0"/>
    <m/>
    <n v="0"/>
    <x v="2"/>
    <m/>
    <s v="PayPal"/>
    <s v="Paid"/>
    <d v="2026-01-29T16:30:00"/>
    <d v="2026-02-17T15:07:34"/>
    <s v="D15-67-890123"/>
    <d v="2029-02-28T00:00:00"/>
    <m/>
    <m/>
    <s v="INV-20260129-0015"/>
    <s v="REC-20260129-0015"/>
    <s v="Gabriel"/>
    <d v="2026-01-29T17:00:00"/>
    <x v="0"/>
    <n v="23200"/>
    <n v="0"/>
    <n v="0"/>
    <n v="0"/>
    <s v="Pending"/>
    <m/>
    <s v="Pending"/>
    <m/>
  </r>
  <r>
    <n v="118"/>
    <s v="CAR-20251105-A1A1A1"/>
    <x v="15"/>
    <s v="mark.johnson@email.com"/>
    <s v="+63 932 111 2222"/>
    <n v="34"/>
    <x v="2"/>
    <x v="12"/>
    <x v="1"/>
    <d v="2025-11-15T00:00:00"/>
    <d v="1899-12-30T10:00:00"/>
    <d v="1899-12-30T10:00:00"/>
    <x v="0"/>
    <x v="0"/>
    <x v="0"/>
    <x v="0"/>
    <m/>
    <n v="5"/>
    <n v="2500"/>
    <n v="12500"/>
    <n v="1500"/>
    <n v="0"/>
    <n v="14000"/>
    <m/>
    <n v="0"/>
    <m/>
    <n v="0"/>
    <x v="0"/>
    <m/>
    <s v="GCash"/>
    <s v="Paid"/>
    <d v="2025-11-05T09:30:00"/>
    <d v="2026-02-17T15:06:12"/>
    <s v="M16-11-111111"/>
    <d v="2028-12-31T00:00:00"/>
    <m/>
    <m/>
    <s v="INV-20251105-0016"/>
    <s v="REC-20251105-0016"/>
    <s v="Gabriel"/>
    <d v="2025-11-05T10:00:00"/>
    <x v="0"/>
    <n v="14000"/>
    <n v="0"/>
    <n v="0"/>
    <n v="0"/>
    <s v="Pending"/>
    <m/>
    <s v="Pending"/>
    <m/>
  </r>
  <r>
    <n v="119"/>
    <s v="CAR-20251112-B2B2B2"/>
    <x v="16"/>
    <s v="sarah.williams@email.com"/>
    <s v="+63 933 222 3333"/>
    <n v="29"/>
    <x v="2"/>
    <x v="1"/>
    <x v="1"/>
    <d v="2025-11-22T00:00:00"/>
    <d v="1899-12-30T11:00:00"/>
    <d v="1899-12-30T11:00:00"/>
    <x v="1"/>
    <x v="1"/>
    <x v="1"/>
    <x v="1"/>
    <m/>
    <n v="4"/>
    <n v="3500"/>
    <n v="14000"/>
    <n v="1200"/>
    <n v="0"/>
    <n v="15200"/>
    <m/>
    <n v="0"/>
    <m/>
    <n v="0"/>
    <x v="0"/>
    <m/>
    <s v="Credit Card"/>
    <s v="Paid"/>
    <d v="2025-11-12T11:00:00"/>
    <d v="2026-02-17T15:06:12"/>
    <s v="S17-22-222222"/>
    <d v="2029-05-15T00:00:00"/>
    <m/>
    <m/>
    <s v="INV-20251112-0017"/>
    <s v="REC-20251112-0017"/>
    <s v="Gabriel"/>
    <d v="2025-11-12T11:30:00"/>
    <x v="1"/>
    <n v="15200"/>
    <n v="0"/>
    <n v="0"/>
    <n v="0"/>
    <s v="Pending"/>
    <m/>
    <s v="Pending"/>
    <m/>
  </r>
  <r>
    <n v="120"/>
    <s v="CAR-20251118-C3C3C3"/>
    <x v="17"/>
    <s v="kevin.brown@email.com"/>
    <s v="+63 934 333 4444"/>
    <n v="41"/>
    <x v="2"/>
    <x v="5"/>
    <x v="1"/>
    <d v="2025-11-28T00:00:00"/>
    <d v="1899-12-30T14:00:00"/>
    <d v="1899-12-30T14:00:00"/>
    <x v="2"/>
    <x v="2"/>
    <x v="3"/>
    <x v="3"/>
    <m/>
    <n v="3"/>
    <n v="1800"/>
    <n v="5400"/>
    <n v="900"/>
    <n v="0"/>
    <n v="6300"/>
    <m/>
    <n v="0"/>
    <m/>
    <n v="0"/>
    <x v="0"/>
    <m/>
    <s v="PayPal"/>
    <s v="Paid"/>
    <d v="2025-11-18T14:00:00"/>
    <d v="2026-02-17T15:06:12"/>
    <s v="K18-33-333333"/>
    <d v="2027-09-20T00:00:00"/>
    <m/>
    <m/>
    <s v="INV-20251118-0018"/>
    <s v="REC-20251118-0018"/>
    <s v="Gabriel"/>
    <d v="2025-11-18T14:30:00"/>
    <x v="0"/>
    <n v="6300"/>
    <n v="0"/>
    <n v="0"/>
    <n v="0"/>
    <s v="Pending"/>
    <m/>
    <s v="Pending"/>
    <m/>
  </r>
  <r>
    <n v="121"/>
    <s v="CAR-20251122-D4D4D4"/>
    <x v="18"/>
    <s v="amanda.davis@email.com"/>
    <s v="+63 935 444 5555"/>
    <n v="26"/>
    <x v="2"/>
    <x v="7"/>
    <x v="1"/>
    <d v="2025-12-02T00:00:00"/>
    <d v="1899-12-30T09:00:00"/>
    <d v="1899-12-30T09:00:00"/>
    <x v="3"/>
    <x v="3"/>
    <x v="4"/>
    <x v="4"/>
    <m/>
    <n v="4"/>
    <n v="4000"/>
    <n v="16000"/>
    <n v="1200"/>
    <n v="0"/>
    <n v="17200"/>
    <m/>
    <n v="0"/>
    <m/>
    <n v="0"/>
    <x v="0"/>
    <m/>
    <s v="GCash"/>
    <s v="Paid"/>
    <d v="2025-11-22T09:00:00"/>
    <d v="2026-02-17T15:06:12"/>
    <s v="A19-44-444444"/>
    <d v="2029-03-10T00:00:00"/>
    <m/>
    <m/>
    <s v="INV-20251122-0019"/>
    <s v="REC-20251122-0019"/>
    <s v="Gabriel"/>
    <d v="2025-11-22T09:30:00"/>
    <x v="1"/>
    <n v="17200"/>
    <n v="0"/>
    <n v="0"/>
    <n v="0"/>
    <s v="Pending"/>
    <m/>
    <s v="Pending"/>
    <m/>
  </r>
  <r>
    <n v="122"/>
    <s v="CAR-20251126-E5E5E5"/>
    <x v="19"/>
    <s v="ryan.miller@email.com"/>
    <s v="+63 936 555 6666"/>
    <n v="38"/>
    <x v="2"/>
    <x v="13"/>
    <x v="1"/>
    <d v="2025-12-03T00:00:00"/>
    <d v="1899-12-30T13:00:00"/>
    <d v="1899-12-30T13:00:00"/>
    <x v="4"/>
    <x v="4"/>
    <x v="2"/>
    <x v="2"/>
    <m/>
    <n v="4"/>
    <n v="5000"/>
    <n v="20000"/>
    <n v="2400"/>
    <n v="0"/>
    <n v="22400"/>
    <m/>
    <n v="0"/>
    <m/>
    <n v="0"/>
    <x v="0"/>
    <m/>
    <s v="Debit Card"/>
    <s v="Paid"/>
    <d v="2025-11-26T13:00:00"/>
    <d v="2026-02-17T15:06:12"/>
    <s v="R20-55-555555"/>
    <d v="2028-07-25T00:00:00"/>
    <m/>
    <m/>
    <s v="INV-20251126-0020"/>
    <s v="REC-20251126-0020"/>
    <s v="Gabriel"/>
    <d v="2025-11-26T13:30:00"/>
    <x v="0"/>
    <n v="22400"/>
    <n v="0"/>
    <n v="0"/>
    <n v="0"/>
    <s v="Pending"/>
    <m/>
    <s v="Pending"/>
    <m/>
  </r>
  <r>
    <n v="123"/>
    <s v="CAR-20251203-F6F6F6"/>
    <x v="20"/>
    <s v="jessica.moore@email.com"/>
    <s v="+63 937 666 7777"/>
    <n v="31"/>
    <x v="3"/>
    <x v="14"/>
    <x v="1"/>
    <d v="2025-12-12T00:00:00"/>
    <d v="1899-12-30T10:30:00"/>
    <d v="1899-12-30T10:30:00"/>
    <x v="5"/>
    <x v="5"/>
    <x v="0"/>
    <x v="6"/>
    <m/>
    <n v="4"/>
    <n v="2800"/>
    <n v="11200"/>
    <n v="1200"/>
    <n v="0"/>
    <n v="12400"/>
    <m/>
    <n v="0"/>
    <m/>
    <n v="0"/>
    <x v="0"/>
    <m/>
    <s v="PayPal"/>
    <s v="Paid"/>
    <d v="2025-12-03T10:30:00"/>
    <d v="2026-02-17T15:06:12"/>
    <s v="J21-66-666666"/>
    <d v="2028-11-30T00:00:00"/>
    <m/>
    <m/>
    <s v="INV-20251203-0021"/>
    <s v="REC-20251203-0021"/>
    <s v="Gabriel"/>
    <d v="2025-12-03T11:00:00"/>
    <x v="0"/>
    <n v="12400"/>
    <n v="0"/>
    <n v="0"/>
    <n v="0"/>
    <s v="Pending"/>
    <m/>
    <s v="Pending"/>
    <m/>
  </r>
  <r>
    <n v="124"/>
    <s v="CAR-20251210-G7G7G7"/>
    <x v="21"/>
    <s v="brian.taylor@email.com"/>
    <s v="+63 938 777 8888"/>
    <n v="35"/>
    <x v="3"/>
    <x v="15"/>
    <x v="1"/>
    <d v="2025-12-19T00:00:00"/>
    <d v="1899-12-30T12:00:00"/>
    <d v="1899-12-30T12:00:00"/>
    <x v="6"/>
    <x v="6"/>
    <x v="1"/>
    <x v="7"/>
    <m/>
    <n v="4"/>
    <n v="3600"/>
    <n v="14400"/>
    <n v="1200"/>
    <n v="0"/>
    <n v="15600"/>
    <m/>
    <n v="0"/>
    <m/>
    <n v="0"/>
    <x v="0"/>
    <m/>
    <s v="Credit Card"/>
    <s v="Paid"/>
    <d v="2025-12-10T12:00:00"/>
    <d v="2026-02-17T15:06:12"/>
    <s v="B22-77-777777"/>
    <d v="2029-01-15T00:00:00"/>
    <m/>
    <m/>
    <s v="INV-20251210-0022"/>
    <s v="REC-20251210-0022"/>
    <s v="Gabriel"/>
    <d v="2025-12-10T12:30:00"/>
    <x v="1"/>
    <n v="15600"/>
    <n v="0"/>
    <n v="0"/>
    <n v="0"/>
    <s v="Pending"/>
    <m/>
    <s v="Pending"/>
    <m/>
  </r>
  <r>
    <n v="125"/>
    <s v="CAR-20251215-H8H8H8"/>
    <x v="22"/>
    <s v="nicole.anderson@email.com"/>
    <s v="+63 939 888 9999"/>
    <n v="28"/>
    <x v="3"/>
    <x v="0"/>
    <x v="1"/>
    <d v="2025-12-24T00:00:00"/>
    <d v="1899-12-30T15:00:00"/>
    <d v="1899-12-30T15:00:00"/>
    <x v="7"/>
    <x v="7"/>
    <x v="5"/>
    <x v="5"/>
    <m/>
    <n v="4"/>
    <n v="3800"/>
    <n v="15200"/>
    <n v="1200"/>
    <n v="0"/>
    <n v="16400"/>
    <m/>
    <n v="0"/>
    <m/>
    <n v="0"/>
    <x v="0"/>
    <m/>
    <s v="GCash"/>
    <s v="Paid"/>
    <d v="2025-12-15T15:00:00"/>
    <d v="2026-02-17T15:06:12"/>
    <s v="N23-88-888888"/>
    <d v="2028-10-20T00:00:00"/>
    <m/>
    <m/>
    <s v="INV-20251215-0023"/>
    <s v="REC-20251215-0023"/>
    <s v="Gabriel"/>
    <d v="2025-12-15T15:30:00"/>
    <x v="0"/>
    <n v="16400"/>
    <n v="0"/>
    <n v="0"/>
    <n v="0"/>
    <s v="Pending"/>
    <m/>
    <s v="Pending"/>
    <m/>
  </r>
  <r>
    <n v="126"/>
    <s v="CAR-20251220-I9I9I9"/>
    <x v="23"/>
    <s v="chris.thomas@email.com"/>
    <s v="+63 940 999 0000"/>
    <n v="43"/>
    <x v="3"/>
    <x v="5"/>
    <x v="1"/>
    <d v="2025-12-29T00:00:00"/>
    <d v="1899-12-30T09:30:00"/>
    <d v="1899-12-30T09:30:00"/>
    <x v="8"/>
    <x v="8"/>
    <x v="4"/>
    <x v="10"/>
    <m/>
    <n v="4"/>
    <n v="3800"/>
    <n v="15200"/>
    <n v="1200"/>
    <n v="0"/>
    <n v="16400"/>
    <m/>
    <n v="0"/>
    <m/>
    <n v="0"/>
    <x v="0"/>
    <m/>
    <s v="PayPal"/>
    <s v="Paid"/>
    <d v="2025-12-20T09:30:00"/>
    <d v="2026-02-17T15:06:12"/>
    <s v="C24-99-999999"/>
    <d v="2027-08-31T00:00:00"/>
    <m/>
    <m/>
    <s v="INV-20251220-0024"/>
    <s v="REC-20251220-0024"/>
    <s v="Gabriel"/>
    <d v="2025-12-20T10:00:00"/>
    <x v="1"/>
    <n v="16400"/>
    <n v="0"/>
    <n v="0"/>
    <n v="0"/>
    <s v="Pending"/>
    <m/>
    <s v="Pending"/>
    <m/>
  </r>
  <r>
    <n v="127"/>
    <s v="CAR-20251228-J1J1J1"/>
    <x v="24"/>
    <s v="michelle.jackson@email.com"/>
    <s v="+63 941 000 1111"/>
    <n v="33"/>
    <x v="3"/>
    <x v="9"/>
    <x v="1"/>
    <d v="2026-01-03T00:00:00"/>
    <d v="1899-12-30T14:00:00"/>
    <d v="1899-12-30T14:00:00"/>
    <x v="9"/>
    <x v="9"/>
    <x v="2"/>
    <x v="8"/>
    <m/>
    <n v="4"/>
    <n v="5500"/>
    <n v="22000"/>
    <n v="2400"/>
    <n v="0"/>
    <n v="24400"/>
    <m/>
    <n v="0"/>
    <m/>
    <n v="0"/>
    <x v="0"/>
    <m/>
    <s v="Debit Card"/>
    <s v="Paid"/>
    <d v="2025-12-28T14:00:00"/>
    <d v="2026-02-17T15:06:12"/>
    <s v="M25-00-000000"/>
    <d v="2029-04-15T00:00:00"/>
    <m/>
    <m/>
    <s v="INV-20251228-0025"/>
    <s v="REC-20251228-0025"/>
    <s v="Gabriel"/>
    <d v="2025-12-28T14:30:00"/>
    <x v="0"/>
    <n v="24400"/>
    <n v="0"/>
    <n v="0"/>
    <n v="0"/>
    <s v="Pending"/>
    <m/>
    <s v="Pending"/>
    <m/>
  </r>
  <r>
    <n v="128"/>
    <s v="CAR-20260105-K2K2K2"/>
    <x v="25"/>
    <s v="steven.white@email.com"/>
    <s v="+63 942 111 2222"/>
    <n v="39"/>
    <x v="0"/>
    <x v="14"/>
    <x v="0"/>
    <d v="2026-01-12T00:00:00"/>
    <d v="1899-12-30T11:00:00"/>
    <d v="1899-12-30T11:00:00"/>
    <x v="10"/>
    <x v="10"/>
    <x v="0"/>
    <x v="11"/>
    <m/>
    <n v="4"/>
    <n v="2400"/>
    <n v="9600"/>
    <n v="1200"/>
    <n v="0"/>
    <n v="10800"/>
    <m/>
    <n v="0"/>
    <m/>
    <n v="0"/>
    <x v="0"/>
    <m/>
    <s v="GCash"/>
    <s v="Paid"/>
    <d v="2026-01-05T11:00:00"/>
    <d v="2026-02-17T15:06:12"/>
    <s v="S26-11-111112"/>
    <d v="2028-06-30T00:00:00"/>
    <m/>
    <m/>
    <s v="INV-20260105-0026"/>
    <s v="REC-20260105-0026"/>
    <s v="Gabriel"/>
    <d v="2026-01-05T11:30:00"/>
    <x v="0"/>
    <n v="10800"/>
    <n v="0"/>
    <n v="0"/>
    <n v="0"/>
    <s v="Pending"/>
    <m/>
    <s v="Pending"/>
    <m/>
  </r>
  <r>
    <n v="129"/>
    <s v="CAR-20260108-L3L3L3"/>
    <x v="26"/>
    <s v="rachel.harris@email.com"/>
    <s v="+63 943 222 3333"/>
    <n v="27"/>
    <x v="0"/>
    <x v="16"/>
    <x v="0"/>
    <d v="2026-01-16T00:00:00"/>
    <d v="1899-12-30T13:00:00"/>
    <d v="1899-12-30T13:00:00"/>
    <x v="11"/>
    <x v="11"/>
    <x v="1"/>
    <x v="12"/>
    <m/>
    <n v="4"/>
    <n v="3700"/>
    <n v="14800"/>
    <n v="1200"/>
    <n v="0"/>
    <n v="16000"/>
    <m/>
    <n v="0"/>
    <m/>
    <n v="0"/>
    <x v="0"/>
    <m/>
    <s v="Credit Card"/>
    <s v="Paid"/>
    <d v="2026-01-08T13:00:00"/>
    <d v="2026-02-17T15:06:12"/>
    <s v="R27-22-222223"/>
    <d v="2029-02-28T00:00:00"/>
    <m/>
    <m/>
    <s v="INV-20260108-0027"/>
    <s v="REC-20260108-0027"/>
    <s v="Gabriel"/>
    <d v="2026-01-08T13:30:00"/>
    <x v="1"/>
    <n v="16000"/>
    <n v="0"/>
    <n v="0"/>
    <n v="0"/>
    <s v="Pending"/>
    <m/>
    <s v="Pending"/>
    <m/>
  </r>
  <r>
    <n v="130"/>
    <s v="CAR-20260110-M4M4M4"/>
    <x v="27"/>
    <s v="andrew.martin@email.com"/>
    <s v="+63 944 333 4444"/>
    <n v="36"/>
    <x v="0"/>
    <x v="17"/>
    <x v="0"/>
    <d v="2026-01-18T00:00:00"/>
    <d v="1899-12-30T10:00:00"/>
    <d v="1899-12-30T10:00:00"/>
    <x v="12"/>
    <x v="12"/>
    <x v="3"/>
    <x v="9"/>
    <m/>
    <n v="4"/>
    <n v="2200"/>
    <n v="8800"/>
    <n v="1200"/>
    <n v="0"/>
    <n v="10000"/>
    <m/>
    <n v="0"/>
    <m/>
    <n v="0"/>
    <x v="0"/>
    <m/>
    <s v="PayPal"/>
    <s v="Paid"/>
    <d v="2026-01-10T10:00:00"/>
    <d v="2026-02-17T15:06:12"/>
    <s v="A28-33-333334"/>
    <d v="2028-09-15T00:00:00"/>
    <m/>
    <m/>
    <s v="INV-20260110-0028"/>
    <s v="REC-20260110-0028"/>
    <s v="Gabriel"/>
    <d v="2026-01-10T10:30:00"/>
    <x v="0"/>
    <n v="10000"/>
    <n v="0"/>
    <n v="0"/>
    <n v="0"/>
    <s v="Pending"/>
    <m/>
    <s v="Pending"/>
    <m/>
  </r>
  <r>
    <n v="131"/>
    <s v="CAR-20260112-N5N5N5"/>
    <x v="28"/>
    <s v="laura.thompson@email.com"/>
    <s v="+63 945 444 5555"/>
    <n v="30"/>
    <x v="0"/>
    <x v="18"/>
    <x v="0"/>
    <d v="2026-01-20T00:00:00"/>
    <d v="1899-12-30T15:30:00"/>
    <d v="1899-12-30T15:30:00"/>
    <x v="13"/>
    <x v="13"/>
    <x v="5"/>
    <x v="13"/>
    <m/>
    <n v="4"/>
    <n v="3500"/>
    <n v="14000"/>
    <n v="1200"/>
    <n v="0"/>
    <n v="15200"/>
    <m/>
    <n v="0"/>
    <m/>
    <n v="0"/>
    <x v="0"/>
    <m/>
    <s v="GCash"/>
    <s v="Paid"/>
    <d v="2026-01-12T15:30:00"/>
    <d v="2026-02-17T15:06:12"/>
    <s v="L29-44-444445"/>
    <d v="2029-06-20T00:00:00"/>
    <m/>
    <m/>
    <s v="INV-20260112-0029"/>
    <s v="REC-20260112-0029"/>
    <s v="Gabriel"/>
    <d v="2026-01-12T16:00:00"/>
    <x v="1"/>
    <n v="15200"/>
    <n v="0"/>
    <n v="0"/>
    <n v="0"/>
    <s v="Pending"/>
    <m/>
    <s v="Pending"/>
    <m/>
  </r>
  <r>
    <n v="132"/>
    <s v="CAR-20260114-O6O6O6"/>
    <x v="29"/>
    <s v="patrick.garcia@email.com"/>
    <s v="+63 946 555 6666"/>
    <n v="44"/>
    <x v="0"/>
    <x v="1"/>
    <x v="0"/>
    <d v="2026-01-22T00:00:00"/>
    <d v="1899-12-30T09:00:00"/>
    <d v="1899-12-30T09:00:00"/>
    <x v="14"/>
    <x v="14"/>
    <x v="2"/>
    <x v="14"/>
    <m/>
    <n v="4"/>
    <n v="5200"/>
    <n v="20800"/>
    <n v="2400"/>
    <n v="0"/>
    <n v="23200"/>
    <m/>
    <n v="0"/>
    <m/>
    <n v="0"/>
    <x v="0"/>
    <m/>
    <s v="Debit Card"/>
    <s v="Paid"/>
    <d v="2026-01-14T09:00:00"/>
    <d v="2026-02-17T15:06:12"/>
    <s v="P30-55-555556"/>
    <d v="2027-12-31T00:00:00"/>
    <m/>
    <m/>
    <s v="INV-20260114-0030"/>
    <s v="REC-20260114-0030"/>
    <s v="Gabriel"/>
    <d v="2026-01-14T09:30:00"/>
    <x v="0"/>
    <n v="23200"/>
    <n v="0"/>
    <n v="0"/>
    <n v="0"/>
    <s v="Pending"/>
    <m/>
    <s v="Pending"/>
    <m/>
  </r>
  <r>
    <n v="133"/>
    <s v="CAR-20260305-P7P7P7"/>
    <x v="30"/>
    <s v="jennifer.martinez@email.com"/>
    <s v="+63 947 666 7777"/>
    <n v="32"/>
    <x v="4"/>
    <x v="12"/>
    <x v="0"/>
    <d v="2026-03-14T00:00:00"/>
    <d v="1899-12-30T10:00:00"/>
    <d v="1899-12-30T10:00:00"/>
    <x v="0"/>
    <x v="0"/>
    <x v="0"/>
    <x v="0"/>
    <m/>
    <n v="4"/>
    <n v="2500"/>
    <n v="10000"/>
    <n v="1200"/>
    <n v="0"/>
    <n v="11200"/>
    <m/>
    <n v="0"/>
    <m/>
    <n v="0"/>
    <x v="2"/>
    <m/>
    <s v="GCash"/>
    <s v="Paid"/>
    <d v="2026-03-05T10:00:00"/>
    <d v="2026-02-17T15:07:31"/>
    <s v="J31-66-666667"/>
    <d v="2028-08-25T00:00:00"/>
    <m/>
    <m/>
    <s v="INV-20260305-0031"/>
    <s v="REC-20260305-0031"/>
    <s v="Gabriel"/>
    <d v="2026-03-05T10:30:00"/>
    <x v="0"/>
    <n v="11200"/>
    <n v="0"/>
    <n v="0"/>
    <n v="0"/>
    <s v="Pending"/>
    <m/>
    <s v="Pending"/>
    <m/>
  </r>
  <r>
    <n v="134"/>
    <s v="CAR-20260310-Q8Q8Q8"/>
    <x v="31"/>
    <s v="timothy.robinson@email.com"/>
    <s v="+63 948 777 8888"/>
    <n v="37"/>
    <x v="4"/>
    <x v="15"/>
    <x v="0"/>
    <d v="2026-03-19T00:00:00"/>
    <d v="1899-12-30T12:00:00"/>
    <d v="1899-12-30T12:00:00"/>
    <x v="1"/>
    <x v="1"/>
    <x v="1"/>
    <x v="1"/>
    <m/>
    <n v="4"/>
    <n v="3500"/>
    <n v="14000"/>
    <n v="1200"/>
    <n v="0"/>
    <n v="15200"/>
    <m/>
    <n v="0"/>
    <m/>
    <n v="0"/>
    <x v="2"/>
    <m/>
    <s v="Credit Card"/>
    <s v="Paid"/>
    <d v="2026-03-10T12:00:00"/>
    <d v="2026-02-17T15:07:29"/>
    <s v="T32-77-777778"/>
    <d v="2029-05-10T00:00:00"/>
    <m/>
    <m/>
    <s v="INV-20260310-0032"/>
    <s v="REC-20260310-0032"/>
    <s v="Gabriel"/>
    <d v="2026-03-10T12:30:00"/>
    <x v="1"/>
    <n v="7600"/>
    <n v="7600"/>
    <n v="0"/>
    <n v="0"/>
    <s v="Pending"/>
    <m/>
    <s v="Pending"/>
    <m/>
  </r>
  <r>
    <n v="135"/>
    <s v="CAR-20260315-R9R9R9"/>
    <x v="32"/>
    <s v="samantha.clark@email.com"/>
    <s v="+63 949 888 9999"/>
    <n v="29"/>
    <x v="4"/>
    <x v="0"/>
    <x v="0"/>
    <d v="2026-03-24T00:00:00"/>
    <d v="1899-12-30T14:00:00"/>
    <d v="1899-12-30T14:00:00"/>
    <x v="2"/>
    <x v="2"/>
    <x v="4"/>
    <x v="4"/>
    <m/>
    <n v="4"/>
    <n v="4000"/>
    <n v="16000"/>
    <n v="1200"/>
    <n v="0"/>
    <n v="17200"/>
    <m/>
    <n v="0"/>
    <m/>
    <n v="0"/>
    <x v="2"/>
    <m/>
    <s v="PayPal"/>
    <s v="Paid"/>
    <d v="2026-03-15T14:00:00"/>
    <d v="2026-02-17T15:07:26"/>
    <s v="S33-88-888889"/>
    <d v="2028-11-15T00:00:00"/>
    <m/>
    <m/>
    <s v="INV-20260315-0033"/>
    <s v="REC-20260315-0033"/>
    <s v="Gabriel"/>
    <d v="2026-03-15T14:30:00"/>
    <x v="0"/>
    <n v="17200"/>
    <n v="0"/>
    <n v="0"/>
    <n v="0"/>
    <s v="Pending"/>
    <m/>
    <s v="Pending"/>
    <m/>
  </r>
  <r>
    <n v="136"/>
    <s v="CAR-20260320-S1S1S1"/>
    <x v="33"/>
    <s v="gregory.lewis@email.com"/>
    <s v="+63 950 999 0000"/>
    <n v="40"/>
    <x v="4"/>
    <x v="5"/>
    <x v="0"/>
    <d v="2026-03-29T00:00:00"/>
    <d v="1899-12-30T11:30:00"/>
    <d v="1899-12-30T11:30:00"/>
    <x v="3"/>
    <x v="3"/>
    <x v="2"/>
    <x v="2"/>
    <m/>
    <n v="4"/>
    <n v="5000"/>
    <n v="20000"/>
    <n v="2400"/>
    <n v="0"/>
    <n v="22400"/>
    <m/>
    <n v="0"/>
    <m/>
    <n v="0"/>
    <x v="2"/>
    <m/>
    <s v="GCash"/>
    <s v="Paid"/>
    <d v="2026-03-20T11:30:00"/>
    <d v="2026-02-17T15:07:24"/>
    <s v="G34-99-999990"/>
    <d v="2027-10-20T00:00:00"/>
    <m/>
    <m/>
    <s v="INV-20260320-0034"/>
    <s v="REC-20260320-0034"/>
    <s v="Gabriel"/>
    <d v="2026-03-20T12:00:00"/>
    <x v="1"/>
    <n v="11200"/>
    <n v="11200"/>
    <n v="0"/>
    <n v="0"/>
    <s v="Pending"/>
    <m/>
    <s v="Pending"/>
    <m/>
  </r>
  <r>
    <n v="137"/>
    <s v="CAR-20260325-T2T2T2"/>
    <x v="34"/>
    <s v="kimberly.walker@email.com"/>
    <s v="+63 951 000 1111"/>
    <n v="26"/>
    <x v="4"/>
    <x v="7"/>
    <x v="0"/>
    <d v="2026-04-01T00:00:00"/>
    <d v="1899-12-30T16:00:00"/>
    <d v="1899-12-30T16:00:00"/>
    <x v="4"/>
    <x v="4"/>
    <x v="5"/>
    <x v="5"/>
    <m/>
    <n v="4"/>
    <n v="3800"/>
    <n v="15200"/>
    <n v="1200"/>
    <n v="0"/>
    <n v="16400"/>
    <m/>
    <n v="0"/>
    <m/>
    <n v="0"/>
    <x v="2"/>
    <m/>
    <s v="Debit Card"/>
    <s v="Paid"/>
    <d v="2026-03-25T16:00:00"/>
    <d v="2026-02-17T15:07:20"/>
    <s v="K35-00-000001"/>
    <d v="2029-07-30T00:00:00"/>
    <m/>
    <m/>
    <s v="INV-20260325-0035"/>
    <s v="REC-20260325-0035"/>
    <s v="Gabriel"/>
    <d v="2026-03-25T16:30:00"/>
    <x v="0"/>
    <n v="16400"/>
    <n v="0"/>
    <n v="0"/>
    <n v="0"/>
    <s v="Pending"/>
    <m/>
    <s v="Pending"/>
    <m/>
  </r>
  <r>
    <n v="138"/>
    <s v="CAR-20260217-AC3C8C"/>
    <x v="35"/>
    <s v="test@gmail.com"/>
    <s v="09546131252"/>
    <n v="21"/>
    <x v="4"/>
    <x v="7"/>
    <x v="0"/>
    <d v="2026-03-31T00:00:00"/>
    <d v="1899-12-30T10:00:00"/>
    <d v="1899-12-30T10:00:00"/>
    <x v="15"/>
    <x v="15"/>
    <x v="3"/>
    <x v="15"/>
    <s v="http://localhost/NiceAdmin/assets/img/cars/honda-civic.jpg"/>
    <n v="3"/>
    <n v="3650"/>
    <n v="10950"/>
    <n v="900"/>
    <n v="0"/>
    <n v="11850"/>
    <s v=""/>
    <n v="0"/>
    <m/>
    <n v="0"/>
    <x v="0"/>
    <m/>
    <s v="GCash"/>
    <s v="Paid"/>
    <d v="2026-02-17T15:09:46"/>
    <d v="2026-02-17T15:24:34"/>
    <s v="A01-30-620434"/>
    <d v="2028-06-25T00:00:00"/>
    <d v="2026-02-17T15:24:34"/>
    <s v="uploads/payments/payment_138_1771312346.png"/>
    <s v="INV-20260217-0138"/>
    <m/>
    <s v="Gabriel"/>
    <d v="2026-02-17T15:12:37"/>
    <x v="1"/>
    <n v="11850"/>
    <n v="0"/>
    <n v="0"/>
    <n v="38"/>
    <s v="Pending"/>
    <m/>
    <s v="Pending"/>
    <m/>
  </r>
  <r>
    <n v="139"/>
    <s v="CAR-20260217-FCA551"/>
    <x v="36"/>
    <s v="Paolo@gmail.com"/>
    <s v="09940213443"/>
    <n v="21"/>
    <x v="4"/>
    <x v="7"/>
    <x v="0"/>
    <d v="2026-03-30T00:00:00"/>
    <d v="1899-12-30T10:00:00"/>
    <d v="1899-12-30T10:00:00"/>
    <x v="0"/>
    <x v="0"/>
    <x v="3"/>
    <x v="15"/>
    <s v="http://localhost/NiceAdmin/assets/img/cars/honda-civic.jpg"/>
    <n v="2"/>
    <n v="3650"/>
    <n v="7300"/>
    <n v="1800"/>
    <n v="0"/>
    <n v="9100"/>
    <s v=""/>
    <n v="0"/>
    <m/>
    <n v="0"/>
    <x v="0"/>
    <m/>
    <s v="GCash"/>
    <s v="Paid"/>
    <d v="2026-02-17T15:27:11"/>
    <d v="2026-02-17T15:28:31"/>
    <s v="P01-23-233432"/>
    <d v="2026-10-21T00:00:00"/>
    <d v="2026-02-17T15:28:31"/>
    <s v="uploads/payments/payment_139_1771313240.png"/>
    <s v="INV-20260217-0139"/>
    <m/>
    <s v="Gabriel"/>
    <d v="2026-02-17T15:28:15"/>
    <x v="0"/>
    <n v="9100"/>
    <n v="0"/>
    <n v="0"/>
    <n v="38"/>
    <s v="Pending"/>
    <m/>
    <s v="Pending"/>
    <m/>
  </r>
  <r>
    <n v="140"/>
    <s v="CAR-20260217-88F8D0"/>
    <x v="37"/>
    <s v="p@gmail.com"/>
    <s v="09619490469"/>
    <n v="22"/>
    <x v="5"/>
    <x v="17"/>
    <x v="0"/>
    <d v="2026-04-21T00:00:00"/>
    <d v="1899-12-30T10:00:00"/>
    <d v="1899-12-30T10:00:00"/>
    <x v="8"/>
    <x v="8"/>
    <x v="3"/>
    <x v="15"/>
    <s v="http://localhost/NiceAdmin/assets/img/cars/honda-civic.jpg"/>
    <n v="7"/>
    <n v="3650"/>
    <n v="25550"/>
    <n v="0"/>
    <n v="1400"/>
    <n v="26950"/>
    <s v=""/>
    <n v="0"/>
    <m/>
    <n v="0"/>
    <x v="0"/>
    <m/>
    <s v="GCash"/>
    <s v="Paid"/>
    <d v="2026-02-17T15:52:24"/>
    <d v="2026-02-17T15:53:58"/>
    <s v="A01-20-201303"/>
    <d v="2030-07-03T00:00:00"/>
    <d v="2026-02-17T15:53:58"/>
    <s v="uploads/payments/payment_140_1771314757.png"/>
    <s v="INV-20260217-0140"/>
    <m/>
    <s v="Gabriel"/>
    <d v="2026-02-17T15:53:25"/>
    <x v="1"/>
    <n v="13475"/>
    <n v="13475"/>
    <n v="0"/>
    <n v="56"/>
    <s v="Picked Up"/>
    <d v="2026-02-17T15:53:51"/>
    <s v="Ready"/>
    <m/>
  </r>
  <r>
    <n v="141"/>
    <s v="BK-JDC-001"/>
    <x v="38"/>
    <s v="juan.delacruz@email.com"/>
    <s v="09171234567"/>
    <n v="0"/>
    <x v="0"/>
    <x v="12"/>
    <x v="1"/>
    <d v="2025-01-13T00:00:00"/>
    <d v="1899-12-30T09:00:00"/>
    <d v="1899-12-30T18:00:00"/>
    <x v="16"/>
    <x v="16"/>
    <x v="0"/>
    <x v="16"/>
    <s v="uploads/cars/corolla.jpg"/>
    <n v="3"/>
    <n v="1500"/>
    <n v="0"/>
    <n v="300"/>
    <n v="0"/>
    <n v="4800"/>
    <m/>
    <n v="0"/>
    <m/>
    <n v="0"/>
    <x v="0"/>
    <m/>
    <m/>
    <s v="Paid"/>
    <d v="2025-01-05T10:00:00"/>
    <d v="2026-02-17T16:17:38"/>
    <s v=""/>
    <m/>
    <m/>
    <m/>
    <m/>
    <m/>
    <m/>
    <m/>
    <x v="0"/>
    <n v="4800"/>
    <n v="0"/>
    <n v="0"/>
    <n v="0"/>
    <s v="Pending"/>
    <m/>
    <s v="Pending"/>
    <m/>
  </r>
  <r>
    <n v="142"/>
    <s v="BK-JDC-002"/>
    <x v="38"/>
    <s v="juan.delacruz@email.com"/>
    <s v="09171234567"/>
    <n v="0"/>
    <x v="1"/>
    <x v="15"/>
    <x v="1"/>
    <d v="2025-02-18T00:00:00"/>
    <d v="1899-12-30T10:00:00"/>
    <d v="1899-12-30T17:00:00"/>
    <x v="17"/>
    <x v="17"/>
    <x v="0"/>
    <x v="15"/>
    <s v="uploads/cars/civic.jpg"/>
    <n v="3"/>
    <n v="1800"/>
    <n v="0"/>
    <n v="300"/>
    <n v="0"/>
    <n v="5700"/>
    <m/>
    <n v="0"/>
    <m/>
    <n v="0"/>
    <x v="0"/>
    <m/>
    <m/>
    <s v="Paid"/>
    <d v="2025-02-10T11:00:00"/>
    <d v="2026-02-17T16:17:38"/>
    <s v=""/>
    <m/>
    <m/>
    <m/>
    <m/>
    <m/>
    <m/>
    <m/>
    <x v="0"/>
    <n v="5700"/>
    <n v="0"/>
    <n v="0"/>
    <n v="0"/>
    <s v="Pending"/>
    <m/>
    <s v="Pending"/>
    <m/>
  </r>
  <r>
    <n v="143"/>
    <s v="BK-JDC-003"/>
    <x v="38"/>
    <s v="juan.delacruz@email.com"/>
    <s v="09171234567"/>
    <n v="0"/>
    <x v="4"/>
    <x v="0"/>
    <x v="1"/>
    <d v="2025-03-24T00:00:00"/>
    <d v="1899-12-30T08:00:00"/>
    <d v="1899-12-30T18:00:00"/>
    <x v="18"/>
    <x v="18"/>
    <x v="1"/>
    <x v="17"/>
    <s v="uploads/cars/cx5.jpg"/>
    <n v="4"/>
    <n v="2500"/>
    <n v="0"/>
    <n v="400"/>
    <n v="0"/>
    <n v="10400"/>
    <m/>
    <n v="0"/>
    <m/>
    <n v="0"/>
    <x v="0"/>
    <m/>
    <m/>
    <s v="Paid"/>
    <d v="2025-03-15T09:00:00"/>
    <d v="2026-02-17T16:17:38"/>
    <s v=""/>
    <m/>
    <m/>
    <m/>
    <m/>
    <m/>
    <m/>
    <m/>
    <x v="0"/>
    <n v="10400"/>
    <n v="0"/>
    <n v="0"/>
    <n v="0"/>
    <s v="Pending"/>
    <m/>
    <s v="Pending"/>
    <m/>
  </r>
  <r>
    <n v="144"/>
    <s v="BK-JDC-004"/>
    <x v="38"/>
    <s v="juan.delacruz@email.com"/>
    <s v="09171234567"/>
    <n v="0"/>
    <x v="5"/>
    <x v="16"/>
    <x v="1"/>
    <d v="2025-04-15T00:00:00"/>
    <d v="1899-12-30T09:00:00"/>
    <d v="1899-12-30T17:00:00"/>
    <x v="16"/>
    <x v="16"/>
    <x v="0"/>
    <x v="0"/>
    <s v="uploads/cars/camry.jpg"/>
    <n v="3"/>
    <n v="2000"/>
    <n v="0"/>
    <n v="300"/>
    <n v="0"/>
    <n v="6300"/>
    <m/>
    <n v="0"/>
    <m/>
    <n v="0"/>
    <x v="0"/>
    <m/>
    <m/>
    <s v="Paid"/>
    <d v="2025-04-08T10:00:00"/>
    <d v="2026-02-17T16:17:38"/>
    <s v=""/>
    <m/>
    <m/>
    <m/>
    <m/>
    <m/>
    <m/>
    <m/>
    <x v="0"/>
    <n v="6300"/>
    <n v="0"/>
    <n v="0"/>
    <n v="0"/>
    <s v="Pending"/>
    <m/>
    <s v="Pending"/>
    <m/>
  </r>
  <r>
    <n v="145"/>
    <s v="BK-JDC-005"/>
    <x v="38"/>
    <s v="juan.delacruz@email.com"/>
    <s v="09171234567"/>
    <n v="0"/>
    <x v="6"/>
    <x v="1"/>
    <x v="1"/>
    <d v="2025-05-21T00:00:00"/>
    <d v="1899-12-30T10:00:00"/>
    <d v="1899-12-30T18:00:00"/>
    <x v="19"/>
    <x v="19"/>
    <x v="0"/>
    <x v="18"/>
    <s v="uploads/cars/altima.jpg"/>
    <n v="3"/>
    <n v="1700"/>
    <n v="0"/>
    <n v="300"/>
    <n v="0"/>
    <n v="5400"/>
    <m/>
    <n v="0"/>
    <m/>
    <n v="0"/>
    <x v="0"/>
    <m/>
    <m/>
    <s v="Paid"/>
    <d v="2025-05-14T11:00:00"/>
    <d v="2026-02-17T16:17:38"/>
    <s v=""/>
    <m/>
    <m/>
    <m/>
    <m/>
    <m/>
    <m/>
    <m/>
    <x v="0"/>
    <n v="5400"/>
    <n v="0"/>
    <n v="0"/>
    <n v="0"/>
    <s v="Pending"/>
    <m/>
    <s v="Pending"/>
    <m/>
  </r>
  <r>
    <n v="146"/>
    <s v="BK-MS-001"/>
    <x v="1"/>
    <s v="maria.santos@email.com"/>
    <s v="09181234567"/>
    <n v="0"/>
    <x v="0"/>
    <x v="14"/>
    <x v="1"/>
    <d v="2025-01-12T00:00:00"/>
    <d v="1899-12-30T08:00:00"/>
    <d v="1899-12-30T17:00:00"/>
    <x v="17"/>
    <x v="17"/>
    <x v="0"/>
    <x v="11"/>
    <s v="uploads/cars/elantra.jpg"/>
    <n v="4"/>
    <n v="1600"/>
    <n v="0"/>
    <n v="400"/>
    <n v="0"/>
    <n v="6800"/>
    <m/>
    <n v="0"/>
    <m/>
    <n v="0"/>
    <x v="0"/>
    <m/>
    <m/>
    <s v="Paid"/>
    <d v="2025-01-03T09:00:00"/>
    <d v="2026-02-17T16:17:38"/>
    <s v=""/>
    <m/>
    <m/>
    <m/>
    <m/>
    <m/>
    <m/>
    <m/>
    <x v="0"/>
    <n v="6800"/>
    <n v="0"/>
    <n v="0"/>
    <n v="0"/>
    <s v="Pending"/>
    <m/>
    <s v="Pending"/>
    <m/>
  </r>
  <r>
    <n v="147"/>
    <s v="BK-MS-002"/>
    <x v="1"/>
    <s v="maria.santos@email.com"/>
    <s v="09181234567"/>
    <n v="0"/>
    <x v="1"/>
    <x v="12"/>
    <x v="1"/>
    <d v="2025-02-12T00:00:00"/>
    <d v="1899-12-30T09:00:00"/>
    <d v="1899-12-30T18:00:00"/>
    <x v="16"/>
    <x v="16"/>
    <x v="6"/>
    <x v="19"/>
    <s v="uploads/cars/mustang.jpg"/>
    <n v="2"/>
    <n v="3500"/>
    <n v="0"/>
    <n v="200"/>
    <n v="0"/>
    <n v="7200"/>
    <m/>
    <n v="0"/>
    <m/>
    <n v="0"/>
    <x v="0"/>
    <m/>
    <m/>
    <s v="Paid"/>
    <d v="2025-02-05T10:00:00"/>
    <d v="2026-02-17T16:17:38"/>
    <s v=""/>
    <m/>
    <m/>
    <m/>
    <m/>
    <m/>
    <m/>
    <m/>
    <x v="0"/>
    <n v="7200"/>
    <n v="0"/>
    <n v="0"/>
    <n v="0"/>
    <s v="Pending"/>
    <m/>
    <s v="Pending"/>
    <m/>
  </r>
  <r>
    <n v="148"/>
    <s v="BK-MS-003"/>
    <x v="1"/>
    <s v="maria.santos@email.com"/>
    <s v="09181234567"/>
    <n v="0"/>
    <x v="4"/>
    <x v="15"/>
    <x v="1"/>
    <d v="2025-03-18T00:00:00"/>
    <d v="1899-12-30T10:00:00"/>
    <d v="1899-12-30T17:00:00"/>
    <x v="18"/>
    <x v="18"/>
    <x v="2"/>
    <x v="20"/>
    <s v="uploads/cars/bmw3.jpg"/>
    <n v="3"/>
    <n v="3000"/>
    <n v="0"/>
    <n v="300"/>
    <n v="0"/>
    <n v="9300"/>
    <m/>
    <n v="0"/>
    <m/>
    <n v="0"/>
    <x v="0"/>
    <m/>
    <m/>
    <s v="Paid"/>
    <d v="2025-03-10T11:00:00"/>
    <d v="2026-02-17T16:17:38"/>
    <s v=""/>
    <m/>
    <m/>
    <m/>
    <m/>
    <m/>
    <m/>
    <m/>
    <x v="0"/>
    <n v="9300"/>
    <n v="0"/>
    <n v="0"/>
    <n v="0"/>
    <s v="Pending"/>
    <m/>
    <s v="Pending"/>
    <m/>
  </r>
  <r>
    <n v="149"/>
    <s v="BK-MS-004"/>
    <x v="1"/>
    <s v="maria.santos@email.com"/>
    <s v="09181234567"/>
    <n v="0"/>
    <x v="5"/>
    <x v="0"/>
    <x v="1"/>
    <d v="2025-04-23T00:00:00"/>
    <d v="1899-12-30T08:00:00"/>
    <d v="1899-12-30T18:00:00"/>
    <x v="19"/>
    <x v="19"/>
    <x v="0"/>
    <x v="21"/>
    <s v="uploads/cars/malibu.jpg"/>
    <n v="3"/>
    <n v="1900"/>
    <n v="0"/>
    <n v="300"/>
    <n v="0"/>
    <n v="6000"/>
    <m/>
    <n v="0"/>
    <m/>
    <n v="0"/>
    <x v="0"/>
    <m/>
    <m/>
    <s v="Paid"/>
    <d v="2025-04-16T09:00:00"/>
    <d v="2026-02-17T16:17:38"/>
    <s v=""/>
    <m/>
    <m/>
    <m/>
    <m/>
    <m/>
    <m/>
    <m/>
    <x v="0"/>
    <n v="6000"/>
    <n v="0"/>
    <n v="0"/>
    <n v="0"/>
    <s v="Pending"/>
    <m/>
    <s v="Pending"/>
    <m/>
  </r>
  <r>
    <n v="150"/>
    <s v="BK-MS-005"/>
    <x v="1"/>
    <s v="maria.santos@email.com"/>
    <s v="09181234567"/>
    <n v="0"/>
    <x v="6"/>
    <x v="5"/>
    <x v="1"/>
    <d v="2025-05-28T00:00:00"/>
    <d v="1899-12-30T09:00:00"/>
    <d v="1899-12-30T17:00:00"/>
    <x v="20"/>
    <x v="20"/>
    <x v="0"/>
    <x v="22"/>
    <s v="uploads/cars/jetta.jpg"/>
    <n v="3"/>
    <n v="1800"/>
    <n v="0"/>
    <n v="300"/>
    <n v="0"/>
    <n v="5700"/>
    <m/>
    <n v="0"/>
    <m/>
    <n v="0"/>
    <x v="0"/>
    <m/>
    <m/>
    <s v="Paid"/>
    <d v="2025-05-20T10:00:00"/>
    <d v="2026-02-17T16:17:38"/>
    <s v=""/>
    <m/>
    <m/>
    <m/>
    <m/>
    <m/>
    <m/>
    <m/>
    <x v="0"/>
    <n v="5700"/>
    <n v="0"/>
    <n v="0"/>
    <n v="0"/>
    <s v="Pending"/>
    <m/>
    <s v="Pending"/>
    <m/>
  </r>
  <r>
    <n v="151"/>
    <s v="BK-PR-001"/>
    <x v="39"/>
    <s v="pedro.reyes@email.com"/>
    <s v="09191234567"/>
    <n v="0"/>
    <x v="0"/>
    <x v="16"/>
    <x v="1"/>
    <d v="2025-01-16T00:00:00"/>
    <d v="1899-12-30T07:00:00"/>
    <d v="1899-12-30T18:00:00"/>
    <x v="18"/>
    <x v="18"/>
    <x v="1"/>
    <x v="23"/>
    <s v="uploads/cars/wrangler.jpg"/>
    <n v="4"/>
    <n v="2800"/>
    <n v="0"/>
    <n v="400"/>
    <n v="0"/>
    <n v="11600"/>
    <m/>
    <n v="0"/>
    <m/>
    <n v="0"/>
    <x v="0"/>
    <m/>
    <m/>
    <s v="Paid"/>
    <d v="2025-01-07T08:00:00"/>
    <d v="2026-02-17T16:17:38"/>
    <s v=""/>
    <m/>
    <m/>
    <m/>
    <m/>
    <m/>
    <m/>
    <m/>
    <x v="0"/>
    <n v="11600"/>
    <n v="0"/>
    <n v="0"/>
    <n v="0"/>
    <s v="Pending"/>
    <m/>
    <s v="Pending"/>
    <m/>
  </r>
  <r>
    <n v="152"/>
    <s v="BK-PR-002"/>
    <x v="39"/>
    <s v="pedro.reyes@email.com"/>
    <s v="09191234567"/>
    <n v="0"/>
    <x v="1"/>
    <x v="1"/>
    <x v="1"/>
    <d v="2025-02-20T00:00:00"/>
    <d v="1899-12-30T10:00:00"/>
    <d v="1899-12-30T17:00:00"/>
    <x v="16"/>
    <x v="16"/>
    <x v="5"/>
    <x v="24"/>
    <s v="uploads/cars/tesla3.jpg"/>
    <n v="2"/>
    <n v="4000"/>
    <n v="0"/>
    <n v="200"/>
    <n v="0"/>
    <n v="8200"/>
    <m/>
    <n v="0"/>
    <m/>
    <n v="0"/>
    <x v="0"/>
    <m/>
    <m/>
    <s v="Paid"/>
    <d v="2025-02-13T09:00:00"/>
    <d v="2026-02-17T16:17:38"/>
    <s v=""/>
    <m/>
    <m/>
    <m/>
    <m/>
    <m/>
    <m/>
    <m/>
    <x v="0"/>
    <n v="8200"/>
    <n v="0"/>
    <n v="0"/>
    <n v="0"/>
    <s v="Pending"/>
    <m/>
    <s v="Pending"/>
    <m/>
  </r>
  <r>
    <n v="153"/>
    <s v="BK-PR-003"/>
    <x v="39"/>
    <s v="pedro.reyes@email.com"/>
    <s v="09191234567"/>
    <n v="0"/>
    <x v="4"/>
    <x v="2"/>
    <x v="1"/>
    <d v="2025-03-25T00:00:00"/>
    <d v="1899-12-30T09:00:00"/>
    <d v="1899-12-30T18:00:00"/>
    <x v="17"/>
    <x v="17"/>
    <x v="2"/>
    <x v="25"/>
    <s v="uploads/cars/mercedesc.jpg"/>
    <n v="3"/>
    <n v="3500"/>
    <n v="0"/>
    <n v="300"/>
    <n v="0"/>
    <n v="10800"/>
    <m/>
    <n v="0"/>
    <m/>
    <n v="0"/>
    <x v="0"/>
    <m/>
    <m/>
    <s v="Paid"/>
    <d v="2025-03-17T10:00:00"/>
    <d v="2026-02-17T16:17:38"/>
    <s v=""/>
    <m/>
    <m/>
    <m/>
    <m/>
    <m/>
    <m/>
    <m/>
    <x v="0"/>
    <n v="10800"/>
    <n v="0"/>
    <n v="0"/>
    <n v="0"/>
    <s v="Pending"/>
    <m/>
    <s v="Pending"/>
    <m/>
  </r>
  <r>
    <n v="154"/>
    <s v="BK-PR-004"/>
    <x v="39"/>
    <s v="pedro.reyes@email.com"/>
    <s v="09191234567"/>
    <n v="0"/>
    <x v="5"/>
    <x v="17"/>
    <x v="1"/>
    <d v="2025-04-17T00:00:00"/>
    <d v="1899-12-30T08:00:00"/>
    <d v="1899-12-30T17:00:00"/>
    <x v="19"/>
    <x v="19"/>
    <x v="2"/>
    <x v="26"/>
    <s v="uploads/cars/audia4.jpg"/>
    <n v="3"/>
    <n v="3200"/>
    <n v="0"/>
    <n v="300"/>
    <n v="0"/>
    <n v="9900"/>
    <m/>
    <n v="0"/>
    <m/>
    <n v="0"/>
    <x v="0"/>
    <m/>
    <m/>
    <s v="Paid"/>
    <d v="2025-04-10T09:00:00"/>
    <d v="2026-02-17T16:17:38"/>
    <s v=""/>
    <m/>
    <m/>
    <m/>
    <m/>
    <m/>
    <m/>
    <m/>
    <x v="0"/>
    <n v="9900"/>
    <n v="0"/>
    <n v="0"/>
    <n v="0"/>
    <s v="Pending"/>
    <m/>
    <s v="Pending"/>
    <m/>
  </r>
  <r>
    <n v="155"/>
    <s v="BK-PR-005"/>
    <x v="39"/>
    <s v="pedro.reyes@email.com"/>
    <s v="09191234567"/>
    <n v="0"/>
    <x v="6"/>
    <x v="0"/>
    <x v="1"/>
    <d v="2025-05-24T00:00:00"/>
    <d v="1899-12-30T10:00:00"/>
    <d v="1899-12-30T18:00:00"/>
    <x v="20"/>
    <x v="20"/>
    <x v="0"/>
    <x v="27"/>
    <s v="uploads/cars/optima.jpg"/>
    <n v="4"/>
    <n v="1700"/>
    <n v="0"/>
    <n v="400"/>
    <n v="0"/>
    <n v="7200"/>
    <m/>
    <n v="0"/>
    <m/>
    <n v="0"/>
    <x v="0"/>
    <m/>
    <m/>
    <s v="Paid"/>
    <d v="2025-05-16T11:00:00"/>
    <d v="2026-02-17T16:17:38"/>
    <s v=""/>
    <m/>
    <m/>
    <m/>
    <m/>
    <m/>
    <m/>
    <m/>
    <x v="0"/>
    <n v="7200"/>
    <n v="0"/>
    <n v="0"/>
    <n v="0"/>
    <s v="Pending"/>
    <m/>
    <s v="Pending"/>
    <m/>
  </r>
  <r>
    <n v="156"/>
    <s v="BK-AG-001"/>
    <x v="40"/>
    <s v="ana.garcia@email.com"/>
    <s v="09201234567"/>
    <n v="0"/>
    <x v="0"/>
    <x v="17"/>
    <x v="1"/>
    <d v="2025-01-18T00:00:00"/>
    <d v="1899-12-30T09:00:00"/>
    <d v="1899-12-30T17:00:00"/>
    <x v="19"/>
    <x v="19"/>
    <x v="0"/>
    <x v="16"/>
    <s v="uploads/cars/corolla.jpg"/>
    <n v="4"/>
    <n v="1500"/>
    <n v="0"/>
    <n v="400"/>
    <n v="0"/>
    <n v="6400"/>
    <m/>
    <n v="0"/>
    <m/>
    <n v="0"/>
    <x v="0"/>
    <m/>
    <m/>
    <s v="Paid"/>
    <d v="2025-01-09T10:00:00"/>
    <d v="2026-02-17T16:17:39"/>
    <s v=""/>
    <m/>
    <m/>
    <m/>
    <m/>
    <m/>
    <m/>
    <m/>
    <x v="0"/>
    <n v="6400"/>
    <n v="0"/>
    <n v="0"/>
    <n v="0"/>
    <s v="Pending"/>
    <m/>
    <s v="Pending"/>
    <m/>
  </r>
  <r>
    <n v="157"/>
    <s v="BK-AG-002"/>
    <x v="40"/>
    <s v="ana.garcia@email.com"/>
    <s v="09201234567"/>
    <n v="0"/>
    <x v="1"/>
    <x v="16"/>
    <x v="1"/>
    <d v="2025-02-15T00:00:00"/>
    <d v="1899-12-30T08:00:00"/>
    <d v="1899-12-30T18:00:00"/>
    <x v="16"/>
    <x v="16"/>
    <x v="0"/>
    <x v="15"/>
    <s v="uploads/cars/civic.jpg"/>
    <n v="3"/>
    <n v="1800"/>
    <n v="0"/>
    <n v="300"/>
    <n v="0"/>
    <n v="5700"/>
    <m/>
    <n v="0"/>
    <m/>
    <n v="0"/>
    <x v="0"/>
    <m/>
    <m/>
    <s v="Paid"/>
    <d v="2025-02-08T09:00:00"/>
    <d v="2026-02-17T16:17:39"/>
    <s v=""/>
    <m/>
    <m/>
    <m/>
    <m/>
    <m/>
    <m/>
    <m/>
    <x v="0"/>
    <n v="5700"/>
    <n v="0"/>
    <n v="0"/>
    <n v="0"/>
    <s v="Pending"/>
    <m/>
    <s v="Pending"/>
    <m/>
  </r>
  <r>
    <n v="158"/>
    <s v="BK-AG-003"/>
    <x v="40"/>
    <s v="ana.garcia@email.com"/>
    <s v="09201234567"/>
    <n v="0"/>
    <x v="4"/>
    <x v="1"/>
    <x v="1"/>
    <d v="2025-03-21T00:00:00"/>
    <d v="1899-12-30T10:00:00"/>
    <d v="1899-12-30T17:00:00"/>
    <x v="17"/>
    <x v="17"/>
    <x v="1"/>
    <x v="17"/>
    <s v="uploads/cars/cx5.jpg"/>
    <n v="3"/>
    <n v="2500"/>
    <n v="0"/>
    <n v="300"/>
    <n v="0"/>
    <n v="7800"/>
    <m/>
    <n v="0"/>
    <m/>
    <n v="0"/>
    <x v="0"/>
    <m/>
    <m/>
    <s v="Paid"/>
    <d v="2025-03-13T11:00:00"/>
    <d v="2026-02-17T16:17:39"/>
    <s v=""/>
    <m/>
    <m/>
    <m/>
    <m/>
    <m/>
    <m/>
    <m/>
    <x v="0"/>
    <n v="7800"/>
    <n v="0"/>
    <n v="0"/>
    <n v="0"/>
    <s v="Pending"/>
    <m/>
    <s v="Pending"/>
    <m/>
  </r>
  <r>
    <n v="159"/>
    <s v="BK-AG-004"/>
    <x v="40"/>
    <s v="ana.garcia@email.com"/>
    <s v="09201234567"/>
    <n v="0"/>
    <x v="5"/>
    <x v="18"/>
    <x v="1"/>
    <d v="2025-04-20T00:00:00"/>
    <d v="1899-12-30T09:00:00"/>
    <d v="1899-12-30T18:00:00"/>
    <x v="18"/>
    <x v="18"/>
    <x v="0"/>
    <x v="18"/>
    <s v="uploads/cars/altima.jpg"/>
    <n v="4"/>
    <n v="1700"/>
    <n v="0"/>
    <n v="400"/>
    <n v="0"/>
    <n v="7200"/>
    <m/>
    <n v="0"/>
    <m/>
    <n v="0"/>
    <x v="0"/>
    <m/>
    <m/>
    <s v="Paid"/>
    <d v="2025-04-12T10:00:00"/>
    <d v="2026-02-17T16:17:39"/>
    <s v=""/>
    <m/>
    <m/>
    <m/>
    <m/>
    <m/>
    <m/>
    <m/>
    <x v="0"/>
    <n v="7200"/>
    <n v="0"/>
    <n v="0"/>
    <n v="0"/>
    <s v="Pending"/>
    <m/>
    <s v="Pending"/>
    <m/>
  </r>
  <r>
    <n v="160"/>
    <s v="BK-AG-005"/>
    <x v="40"/>
    <s v="ana.garcia@email.com"/>
    <s v="09201234567"/>
    <n v="0"/>
    <x v="6"/>
    <x v="2"/>
    <x v="1"/>
    <d v="2025-05-25T00:00:00"/>
    <d v="1899-12-30T08:00:00"/>
    <d v="1899-12-30T17:00:00"/>
    <x v="20"/>
    <x v="20"/>
    <x v="0"/>
    <x v="11"/>
    <s v="uploads/cars/elantra.jpg"/>
    <n v="3"/>
    <n v="1600"/>
    <n v="0"/>
    <n v="300"/>
    <n v="0"/>
    <n v="5100"/>
    <m/>
    <n v="0"/>
    <m/>
    <n v="0"/>
    <x v="0"/>
    <m/>
    <m/>
    <s v="Paid"/>
    <d v="2025-05-18T09:00:00"/>
    <d v="2026-02-17T16:17:39"/>
    <s v=""/>
    <m/>
    <m/>
    <m/>
    <m/>
    <m/>
    <m/>
    <m/>
    <x v="0"/>
    <n v="5100"/>
    <n v="0"/>
    <n v="0"/>
    <n v="0"/>
    <s v="Pending"/>
    <m/>
    <s v="Pending"/>
    <m/>
  </r>
  <r>
    <n v="161"/>
    <s v="BK-RC-001"/>
    <x v="41"/>
    <s v="ramon.cruz@email.com"/>
    <s v="09211234567"/>
    <n v="0"/>
    <x v="0"/>
    <x v="18"/>
    <x v="1"/>
    <d v="2025-01-19T00:00:00"/>
    <d v="1899-12-30T10:00:00"/>
    <d v="1899-12-30T18:00:00"/>
    <x v="20"/>
    <x v="20"/>
    <x v="0"/>
    <x v="0"/>
    <s v="uploads/cars/camry.jpg"/>
    <n v="3"/>
    <n v="2000"/>
    <n v="0"/>
    <n v="300"/>
    <n v="0"/>
    <n v="6300"/>
    <m/>
    <n v="0"/>
    <m/>
    <n v="0"/>
    <x v="0"/>
    <m/>
    <m/>
    <s v="Paid"/>
    <d v="2025-01-11T11:00:00"/>
    <d v="2026-02-17T16:17:39"/>
    <s v=""/>
    <m/>
    <m/>
    <m/>
    <m/>
    <m/>
    <m/>
    <m/>
    <x v="0"/>
    <n v="6300"/>
    <n v="0"/>
    <n v="0"/>
    <n v="0"/>
    <s v="Pending"/>
    <m/>
    <s v="Pending"/>
    <m/>
  </r>
  <r>
    <n v="162"/>
    <s v="BK-RC-002"/>
    <x v="41"/>
    <s v="ramon.cruz@email.com"/>
    <s v="09211234567"/>
    <n v="0"/>
    <x v="1"/>
    <x v="0"/>
    <x v="1"/>
    <d v="2025-02-23T00:00:00"/>
    <d v="1899-12-30T09:00:00"/>
    <d v="1899-12-30T17:00:00"/>
    <x v="18"/>
    <x v="18"/>
    <x v="2"/>
    <x v="20"/>
    <s v="uploads/cars/bmw3.jpg"/>
    <n v="3"/>
    <n v="3000"/>
    <n v="0"/>
    <n v="300"/>
    <n v="0"/>
    <n v="9300"/>
    <m/>
    <n v="0"/>
    <m/>
    <n v="0"/>
    <x v="0"/>
    <m/>
    <m/>
    <s v="Paid"/>
    <d v="2025-02-15T10:00:00"/>
    <d v="2026-02-17T16:17:39"/>
    <s v=""/>
    <m/>
    <m/>
    <m/>
    <m/>
    <m/>
    <m/>
    <m/>
    <x v="0"/>
    <n v="9300"/>
    <n v="0"/>
    <n v="0"/>
    <n v="0"/>
    <s v="Pending"/>
    <m/>
    <s v="Pending"/>
    <m/>
  </r>
  <r>
    <n v="163"/>
    <s v="BK-RC-003"/>
    <x v="41"/>
    <s v="ramon.cruz@email.com"/>
    <s v="09211234567"/>
    <n v="0"/>
    <x v="4"/>
    <x v="8"/>
    <x v="1"/>
    <d v="2025-03-27T00:00:00"/>
    <d v="1899-12-30T08:00:00"/>
    <d v="1899-12-30T18:00:00"/>
    <x v="16"/>
    <x v="16"/>
    <x v="1"/>
    <x v="23"/>
    <s v="uploads/cars/wrangler.jpg"/>
    <n v="3"/>
    <n v="2800"/>
    <n v="0"/>
    <n v="300"/>
    <n v="0"/>
    <n v="8700"/>
    <m/>
    <n v="0"/>
    <m/>
    <n v="0"/>
    <x v="0"/>
    <m/>
    <m/>
    <s v="Paid"/>
    <d v="2025-03-19T09:00:00"/>
    <d v="2026-02-17T16:17:39"/>
    <s v=""/>
    <m/>
    <m/>
    <m/>
    <m/>
    <m/>
    <m/>
    <m/>
    <x v="0"/>
    <n v="8700"/>
    <n v="0"/>
    <n v="0"/>
    <n v="0"/>
    <s v="Pending"/>
    <m/>
    <s v="Pending"/>
    <m/>
  </r>
  <r>
    <n v="164"/>
    <s v="BK-RC-004"/>
    <x v="41"/>
    <s v="ramon.cruz@email.com"/>
    <s v="09211234567"/>
    <n v="0"/>
    <x v="5"/>
    <x v="1"/>
    <x v="1"/>
    <d v="2025-04-21T00:00:00"/>
    <d v="1899-12-30T10:00:00"/>
    <d v="1899-12-30T17:00:00"/>
    <x v="17"/>
    <x v="17"/>
    <x v="0"/>
    <x v="21"/>
    <s v="uploads/cars/malibu.jpg"/>
    <n v="3"/>
    <n v="1900"/>
    <n v="0"/>
    <n v="300"/>
    <n v="0"/>
    <n v="6000"/>
    <m/>
    <n v="0"/>
    <m/>
    <n v="0"/>
    <x v="0"/>
    <m/>
    <m/>
    <s v="Paid"/>
    <d v="2025-04-14T11:00:00"/>
    <d v="2026-02-17T16:17:39"/>
    <s v=""/>
    <m/>
    <m/>
    <m/>
    <m/>
    <m/>
    <m/>
    <m/>
    <x v="0"/>
    <n v="6000"/>
    <n v="0"/>
    <n v="0"/>
    <n v="0"/>
    <s v="Pending"/>
    <m/>
    <s v="Pending"/>
    <m/>
  </r>
  <r>
    <n v="165"/>
    <s v="BK-RC-005"/>
    <x v="41"/>
    <s v="ramon.cruz@email.com"/>
    <s v="09211234567"/>
    <n v="0"/>
    <x v="6"/>
    <x v="10"/>
    <x v="1"/>
    <d v="2025-05-29T00:00:00"/>
    <d v="1899-12-30T09:00:00"/>
    <d v="1899-12-30T18:00:00"/>
    <x v="19"/>
    <x v="19"/>
    <x v="0"/>
    <x v="22"/>
    <s v="uploads/cars/jetta.jpg"/>
    <n v="3"/>
    <n v="1800"/>
    <n v="0"/>
    <n v="300"/>
    <n v="0"/>
    <n v="5700"/>
    <m/>
    <n v="0"/>
    <m/>
    <n v="0"/>
    <x v="0"/>
    <m/>
    <m/>
    <s v="Paid"/>
    <d v="2025-05-22T10:00:00"/>
    <d v="2026-02-17T16:17:39"/>
    <s v=""/>
    <m/>
    <m/>
    <m/>
    <m/>
    <m/>
    <m/>
    <m/>
    <x v="0"/>
    <n v="5700"/>
    <n v="0"/>
    <n v="0"/>
    <n v="0"/>
    <s v="Pending"/>
    <m/>
    <s v="Pending"/>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9"/>
    <s v="CAR-20260115-A1B2C3"/>
    <x v="0"/>
    <s v="john.doe@email.com"/>
    <x v="0"/>
    <x v="0"/>
    <s v="Solid choice for daily driving. Good fuel efficiency and comfortable interior. No complaints!"/>
    <n v="1"/>
    <n v="26"/>
    <x v="0"/>
    <s v="Approved"/>
  </r>
  <r>
    <n v="20"/>
    <s v="CAR-20260118-J1K2L3"/>
    <x v="1"/>
    <s v="ana.reyes@email.com"/>
    <x v="1"/>
    <x v="0"/>
    <s v="Great experience overall. The car handled well and was perfect for city driving. Only minor issue was the AC took a while to cool down."/>
    <n v="1"/>
    <n v="28"/>
    <x v="0"/>
    <s v="Approved"/>
  </r>
  <r>
    <n v="21"/>
    <s v="CAR-20260121-S1T2U3"/>
    <x v="2"/>
    <s v="miguel.lopez@email.com"/>
    <x v="2"/>
    <x v="1"/>
    <s v="Luxury at its finest. Comfortable seats, great sound system, and smooth ride. A bit pricey but worth it for special occasions."/>
    <n v="1"/>
    <n v="29"/>
    <x v="0"/>
    <s v="Approved"/>
  </r>
  <r>
    <n v="22"/>
    <s v="CAR-20260124-B1C2D3"/>
    <x v="3"/>
    <s v="elena.rivera@email.com"/>
    <x v="3"/>
    <x v="2"/>
    <s v="Reliable and comfortable sedan. Great for family trips. Good fuel economy and plenty of trunk space."/>
    <n v="2"/>
    <n v="3"/>
    <x v="0"/>
    <s v="Approved"/>
  </r>
  <r>
    <n v="23"/>
    <s v="CAR-20260127-K1L2M3"/>
    <x v="4"/>
    <s v="james.lee@email.com"/>
    <x v="4"/>
    <x v="2"/>
    <s v="Excellent SUV! Perfect size for a small family. Great visibility and very comfortable on long drives."/>
    <n v="2"/>
    <n v="4"/>
    <x v="0"/>
    <s v="Approved"/>
  </r>
  <r>
    <n v="24"/>
    <s v="CAR-20251105-A1A1A1"/>
    <x v="0"/>
    <s v="mark.johnson@email.com"/>
    <x v="5"/>
    <x v="0"/>
    <s v="Solid choice for daily driving. Good fuel efficiency and comfortable interior. No complaints!"/>
    <n v="11"/>
    <n v="16"/>
    <x v="1"/>
    <s v="Approved"/>
  </r>
  <r>
    <n v="25"/>
    <s v="CAR-20251112-B2B2B2"/>
    <x v="5"/>
    <s v="sarah.williams@email.com"/>
    <x v="6"/>
    <x v="1"/>
    <s v="Surprisingly great car! Modern features, smooth ride, and excellent customer service. Exceeded my expectations!"/>
    <n v="11"/>
    <n v="23"/>
    <x v="1"/>
    <s v="Approved"/>
  </r>
  <r>
    <n v="26"/>
    <s v="CAR-20251118-C3C3C3"/>
    <x v="1"/>
    <s v="kevin.brown@email.com"/>
    <x v="7"/>
    <x v="2"/>
    <s v="Excellent car! Very fuel efficient and comfortable for long drives. The pickup process was smooth and the car was in pristine condition."/>
    <n v="11"/>
    <n v="29"/>
    <x v="1"/>
    <s v="Approved"/>
  </r>
  <r>
    <n v="27"/>
    <s v="CAR-20251122-D4D4D4"/>
    <x v="6"/>
    <s v="amanda.davis@email.com"/>
    <x v="8"/>
    <x v="0"/>
    <s v="Great experience overall. The car handled well and was perfect for city driving. Only minor issue was the AC took a while to cool down."/>
    <n v="12"/>
    <n v="3"/>
    <x v="1"/>
    <s v="Approved"/>
  </r>
  <r>
    <n v="28"/>
    <s v="CAR-20251126-E5E5E5"/>
    <x v="7"/>
    <s v="ryan.miller@email.com"/>
    <x v="9"/>
    <x v="2"/>
    <s v="Amazing sports car! The power and handling are incredible. Perfect for a weekend getaway. Highly recommend!"/>
    <n v="12"/>
    <n v="4"/>
    <x v="1"/>
    <s v="Approved"/>
  </r>
  <r>
    <n v="29"/>
    <s v="CAR-20251203-F6F6F6"/>
    <x v="2"/>
    <s v="jessica.moore@email.com"/>
    <x v="10"/>
    <x v="0"/>
    <s v="Love the electric experience! Silent, smooth, and eco-friendly. The autopilot feature made highway driving a breeze."/>
    <n v="12"/>
    <n v="13"/>
    <x v="1"/>
    <s v="Approved"/>
  </r>
  <r>
    <n v="30"/>
    <s v="CAR-20251210-G7G7G7"/>
    <x v="8"/>
    <s v="brian.taylor@email.com"/>
    <x v="11"/>
    <x v="1"/>
    <s v="Luxury at its finest. Comfortable seats, great sound system, and smooth ride. A bit pricey but worth it for special occasions."/>
    <n v="12"/>
    <n v="20"/>
    <x v="1"/>
    <s v="Approved"/>
  </r>
  <r>
    <n v="31"/>
    <s v="CAR-20251215-H8H8H8"/>
    <x v="9"/>
    <s v="nicole.anderson@email.com"/>
    <x v="12"/>
    <x v="2"/>
    <s v="Absolutely stunning car! The interior is luxurious and the drive is incredibly smooth. Staff was very professional."/>
    <n v="12"/>
    <n v="25"/>
    <x v="1"/>
    <s v="Approved"/>
  </r>
  <r>
    <n v="32"/>
    <s v="CAR-20251220-I9I9I9"/>
    <x v="10"/>
    <s v="chris.thomas@email.com"/>
    <x v="13"/>
    <x v="0"/>
    <s v="Perfect for off-road adventures! Took it to the mountains and it handled everything like a champ. Very spacious too."/>
    <n v="12"/>
    <n v="30"/>
    <x v="1"/>
    <s v="Approved"/>
  </r>
  <r>
    <n v="33"/>
    <s v="CAR-20251228-J1J1J1"/>
    <x v="11"/>
    <s v="michelle.jackson@email.com"/>
    <x v="14"/>
    <x v="2"/>
    <s v="Reliable and comfortable sedan. Great for family trips. Good fuel economy and plenty of trunk space."/>
    <n v="1"/>
    <n v="4"/>
    <x v="0"/>
    <s v="Approv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5"/>
    <x v="0"/>
    <n v="5108"/>
    <n v="3831"/>
    <n v="25"/>
    <d v="2026-02-09T00:00:00"/>
    <d v="2026-02-10T00:00:00"/>
    <x v="0"/>
    <d v="2026-02-09T12:52:25"/>
  </r>
  <r>
    <n v="6"/>
    <x v="1"/>
    <n v="3950"/>
    <n v="3357.5"/>
    <n v="15"/>
    <d v="2026-02-09T00:00:00"/>
    <d v="2026-02-21T00:00:00"/>
    <x v="0"/>
    <d v="2026-02-09T14:04:28"/>
  </r>
  <r>
    <n v="7"/>
    <x v="2"/>
    <n v="5878"/>
    <n v="4408.5"/>
    <n v="25"/>
    <d v="2026-02-09T00:00:00"/>
    <d v="2026-02-11T00:00:00"/>
    <x v="0"/>
    <d v="2026-02-09T15:22:14"/>
  </r>
  <r>
    <n v="8"/>
    <x v="3"/>
    <n v="3650"/>
    <n v="2737.5"/>
    <n v="25"/>
    <d v="2026-02-09T00:00:00"/>
    <d v="2026-02-11T00:00:00"/>
    <x v="0"/>
    <d v="2026-02-09T15:22:48"/>
  </r>
  <r>
    <n v="9"/>
    <x v="4"/>
    <n v="4500"/>
    <n v="3825"/>
    <n v="15"/>
    <d v="2026-02-09T00:00:00"/>
    <d v="2026-02-19T00:00:00"/>
    <x v="0"/>
    <d v="2026-02-09T15:23:07"/>
  </r>
  <r>
    <n v="10"/>
    <x v="5"/>
    <n v="2650"/>
    <n v="2040.5"/>
    <n v="23"/>
    <d v="2026-02-13T00:00:00"/>
    <d v="2026-02-28T00:00:00"/>
    <x v="0"/>
    <d v="2026-02-13T11:02:59"/>
  </r>
  <r>
    <n v="11"/>
    <x v="6"/>
    <n v="3850"/>
    <n v="3388"/>
    <n v="12"/>
    <d v="2026-02-13T00:00:00"/>
    <d v="2026-03-12T00:00:00"/>
    <x v="0"/>
    <d v="2026-02-13T11:03: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B66223-D27B-40F5-8378-269318205E66}" name="PivotTable25"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177:N206" firstHeaderRow="1" firstDataRow="1" firstDataCol="1"/>
  <pivotFields count="50">
    <pivotField showAll="0"/>
    <pivotField showAll="0"/>
    <pivotField showAll="0"/>
    <pivotField showAll="0"/>
    <pivotField showAll="0"/>
    <pivotField showAll="0"/>
    <pivotField showAll="0"/>
    <pivotField showAll="0"/>
    <pivotField showAll="0"/>
    <pivotField numFmtId="14" showAll="0"/>
    <pivotField numFmtId="164" showAll="0"/>
    <pivotField numFmtId="164" showAll="0"/>
    <pivotField showAll="0"/>
    <pivotField showAll="0"/>
    <pivotField showAll="0"/>
    <pivotField axis="axisRow" showAll="0" sortType="descending">
      <items count="29">
        <item x="26"/>
        <item x="14"/>
        <item x="20"/>
        <item x="2"/>
        <item x="21"/>
        <item x="12"/>
        <item x="19"/>
        <item x="6"/>
        <item x="15"/>
        <item x="1"/>
        <item x="11"/>
        <item x="23"/>
        <item x="27"/>
        <item x="9"/>
        <item x="17"/>
        <item x="25"/>
        <item x="8"/>
        <item x="7"/>
        <item x="18"/>
        <item x="13"/>
        <item x="10"/>
        <item x="24"/>
        <item x="5"/>
        <item x="0"/>
        <item x="16"/>
        <item x="4"/>
        <item x="3"/>
        <item x="2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9">
    <i>
      <x v="23"/>
    </i>
    <i>
      <x v="8"/>
    </i>
    <i>
      <x v="10"/>
    </i>
    <i>
      <x v="25"/>
    </i>
    <i>
      <x v="22"/>
    </i>
    <i>
      <x v="9"/>
    </i>
    <i>
      <x v="3"/>
    </i>
    <i>
      <x v="13"/>
    </i>
    <i>
      <x v="19"/>
    </i>
    <i>
      <x v="5"/>
    </i>
    <i>
      <x v="20"/>
    </i>
    <i>
      <x v="1"/>
    </i>
    <i>
      <x v="26"/>
    </i>
    <i>
      <x v="16"/>
    </i>
    <i>
      <x v="17"/>
    </i>
    <i>
      <x v="24"/>
    </i>
    <i>
      <x v="11"/>
    </i>
    <i>
      <x v="7"/>
    </i>
    <i>
      <x v="14"/>
    </i>
    <i>
      <x v="18"/>
    </i>
    <i>
      <x v="27"/>
    </i>
    <i>
      <x v="2"/>
    </i>
    <i>
      <x v="4"/>
    </i>
    <i>
      <x v="12"/>
    </i>
    <i>
      <x v="15"/>
    </i>
    <i>
      <x/>
    </i>
    <i>
      <x v="6"/>
    </i>
    <i>
      <x v="21"/>
    </i>
    <i t="grand">
      <x/>
    </i>
  </rowItems>
  <colItems count="1">
    <i/>
  </colItems>
  <dataFields count="1">
    <dataField name="Sum of rental_days" fld="17"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1423B-D44D-43F0-A36C-1088488E49BE}" name="PivotTable24"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141:Q154" firstHeaderRow="1" firstDataRow="1" firstDataCol="1"/>
  <pivotFields count="11">
    <pivotField showAll="0"/>
    <pivotField showAll="0"/>
    <pivotField axis="axisRow" showAll="0">
      <items count="13">
        <item x="7"/>
        <item x="4"/>
        <item x="2"/>
        <item x="5"/>
        <item x="3"/>
        <item x="11"/>
        <item x="8"/>
        <item x="10"/>
        <item x="9"/>
        <item x="0"/>
        <item x="6"/>
        <item x="1"/>
        <item t="default"/>
      </items>
    </pivotField>
    <pivotField showAll="0"/>
    <pivotField showAll="0"/>
    <pivotField dataField="1" showAll="0"/>
    <pivotField showAll="0"/>
    <pivotField showAll="0"/>
    <pivotField showAll="0"/>
    <pivotField showAll="0">
      <items count="3">
        <item x="1"/>
        <item x="0"/>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rating" fld="5"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EB3631-CCBD-477C-881C-BD22AD5C170D}" name="PivotTable23"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48:E178" firstHeaderRow="1" firstDataRow="2" firstDataCol="1"/>
  <pivotFields count="50">
    <pivotField showAll="0"/>
    <pivotField dataField="1" showAll="0"/>
    <pivotField showAll="0"/>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showAll="0"/>
    <pivotField showAll="0"/>
    <pivotField showAll="0"/>
    <pivotField axis="axisRow" showAll="0" sortType="descending">
      <items count="29">
        <item x="26"/>
        <item x="14"/>
        <item x="20"/>
        <item x="2"/>
        <item x="21"/>
        <item x="12"/>
        <item x="19"/>
        <item x="6"/>
        <item x="15"/>
        <item x="1"/>
        <item x="11"/>
        <item x="23"/>
        <item x="27"/>
        <item x="9"/>
        <item x="17"/>
        <item x="25"/>
        <item x="8"/>
        <item x="7"/>
        <item x="18"/>
        <item x="13"/>
        <item x="10"/>
        <item x="24"/>
        <item x="5"/>
        <item x="0"/>
        <item x="16"/>
        <item x="4"/>
        <item x="3"/>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9">
    <i>
      <x v="8"/>
    </i>
    <i>
      <x v="23"/>
    </i>
    <i>
      <x v="10"/>
    </i>
    <i>
      <x v="3"/>
    </i>
    <i>
      <x v="22"/>
    </i>
    <i>
      <x v="9"/>
    </i>
    <i>
      <x v="25"/>
    </i>
    <i>
      <x v="18"/>
    </i>
    <i>
      <x v="16"/>
    </i>
    <i>
      <x v="20"/>
    </i>
    <i>
      <x v="4"/>
    </i>
    <i>
      <x v="17"/>
    </i>
    <i>
      <x v="5"/>
    </i>
    <i>
      <x v="19"/>
    </i>
    <i>
      <x v="2"/>
    </i>
    <i>
      <x v="1"/>
    </i>
    <i>
      <x v="7"/>
    </i>
    <i>
      <x v="24"/>
    </i>
    <i>
      <x v="26"/>
    </i>
    <i>
      <x v="14"/>
    </i>
    <i>
      <x v="27"/>
    </i>
    <i>
      <x v="11"/>
    </i>
    <i>
      <x v="13"/>
    </i>
    <i>
      <x v="21"/>
    </i>
    <i>
      <x v="6"/>
    </i>
    <i>
      <x/>
    </i>
    <i>
      <x v="15"/>
    </i>
    <i>
      <x v="12"/>
    </i>
    <i t="grand">
      <x/>
    </i>
  </rowItems>
  <colFields count="1">
    <field x="27"/>
  </colFields>
  <colItems count="4">
    <i>
      <x/>
    </i>
    <i>
      <x v="1"/>
    </i>
    <i>
      <x v="2"/>
    </i>
    <i t="grand">
      <x/>
    </i>
  </colItems>
  <dataFields count="1">
    <dataField name="Count of booking_id" fld="1" subtotal="count" baseField="0" baseItem="0"/>
  </dataFields>
  <chartFormats count="6">
    <chartFormat chart="22" format="0" series="1">
      <pivotArea type="data" outline="0" fieldPosition="0">
        <references count="2">
          <reference field="4294967294" count="1" selected="0">
            <x v="0"/>
          </reference>
          <reference field="27" count="1" selected="0">
            <x v="0"/>
          </reference>
        </references>
      </pivotArea>
    </chartFormat>
    <chartFormat chart="22" format="1" series="1">
      <pivotArea type="data" outline="0" fieldPosition="0">
        <references count="2">
          <reference field="4294967294" count="1" selected="0">
            <x v="0"/>
          </reference>
          <reference field="27" count="1" selected="0">
            <x v="1"/>
          </reference>
        </references>
      </pivotArea>
    </chartFormat>
    <chartFormat chart="22" format="2" series="1">
      <pivotArea type="data" outline="0" fieldPosition="0">
        <references count="2">
          <reference field="4294967294" count="1" selected="0">
            <x v="0"/>
          </reference>
          <reference field="27" count="1" selected="0">
            <x v="2"/>
          </reference>
        </references>
      </pivotArea>
    </chartFormat>
    <chartFormat chart="24" format="6" series="1">
      <pivotArea type="data" outline="0" fieldPosition="0">
        <references count="2">
          <reference field="4294967294" count="1" selected="0">
            <x v="0"/>
          </reference>
          <reference field="27" count="1" selected="0">
            <x v="0"/>
          </reference>
        </references>
      </pivotArea>
    </chartFormat>
    <chartFormat chart="24" format="7" series="1">
      <pivotArea type="data" outline="0" fieldPosition="0">
        <references count="2">
          <reference field="4294967294" count="1" selected="0">
            <x v="0"/>
          </reference>
          <reference field="27" count="1" selected="0">
            <x v="1"/>
          </reference>
        </references>
      </pivotArea>
    </chartFormat>
    <chartFormat chart="24" format="8" series="1">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F798DF-6D99-4A1D-B988-6F20761E20A0}" name="PivotTable22"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3:M126" firstHeaderRow="1" firstDataRow="2" firstDataCol="1"/>
  <pivotFields count="50">
    <pivotField showAll="0"/>
    <pivotField dataField="1" showAll="0"/>
    <pivotField showAll="0"/>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showAll="0"/>
    <pivotField axis="axisRow" showAll="0" sortType="descending">
      <items count="22">
        <item x="8"/>
        <item x="2"/>
        <item x="5"/>
        <item x="9"/>
        <item x="11"/>
        <item x="14"/>
        <item x="18"/>
        <item x="1"/>
        <item x="6"/>
        <item x="16"/>
        <item x="0"/>
        <item x="7"/>
        <item x="12"/>
        <item x="4"/>
        <item x="19"/>
        <item x="15"/>
        <item x="3"/>
        <item x="17"/>
        <item x="10"/>
        <item x="1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2">
    <i>
      <x v="9"/>
    </i>
    <i>
      <x v="17"/>
    </i>
    <i>
      <x v="14"/>
    </i>
    <i>
      <x v="6"/>
    </i>
    <i>
      <x v="20"/>
    </i>
    <i>
      <x v="10"/>
    </i>
    <i>
      <x v="1"/>
    </i>
    <i>
      <x/>
    </i>
    <i>
      <x v="16"/>
    </i>
    <i>
      <x v="7"/>
    </i>
    <i>
      <x v="13"/>
    </i>
    <i>
      <x v="18"/>
    </i>
    <i>
      <x v="8"/>
    </i>
    <i>
      <x v="5"/>
    </i>
    <i>
      <x v="12"/>
    </i>
    <i>
      <x v="4"/>
    </i>
    <i>
      <x v="2"/>
    </i>
    <i>
      <x v="19"/>
    </i>
    <i>
      <x v="3"/>
    </i>
    <i>
      <x v="11"/>
    </i>
    <i>
      <x v="15"/>
    </i>
    <i t="grand">
      <x/>
    </i>
  </rowItems>
  <colFields count="1">
    <field x="27"/>
  </colFields>
  <colItems count="4">
    <i>
      <x/>
    </i>
    <i>
      <x v="1"/>
    </i>
    <i>
      <x v="2"/>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8ED294-F71C-454A-A59C-B6208F01E8A8}" name="PivotTable21"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02:E125" firstHeaderRow="1" firstDataRow="2" firstDataCol="1"/>
  <pivotFields count="50">
    <pivotField showAll="0"/>
    <pivotField dataField="1" showAll="0"/>
    <pivotField showAll="0"/>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axis="axisRow" showAll="0" sortType="descending">
      <items count="22">
        <item x="8"/>
        <item x="2"/>
        <item x="5"/>
        <item x="9"/>
        <item x="11"/>
        <item x="14"/>
        <item x="18"/>
        <item x="1"/>
        <item x="6"/>
        <item x="16"/>
        <item x="0"/>
        <item x="7"/>
        <item x="15"/>
        <item x="12"/>
        <item x="4"/>
        <item x="19"/>
        <item x="3"/>
        <item x="17"/>
        <item x="10"/>
        <item x="13"/>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2">
    <i>
      <x v="9"/>
    </i>
    <i>
      <x v="17"/>
    </i>
    <i>
      <x v="15"/>
    </i>
    <i>
      <x v="6"/>
    </i>
    <i>
      <x v="20"/>
    </i>
    <i>
      <x v="10"/>
    </i>
    <i>
      <x v="14"/>
    </i>
    <i>
      <x/>
    </i>
    <i>
      <x v="16"/>
    </i>
    <i>
      <x v="7"/>
    </i>
    <i>
      <x v="1"/>
    </i>
    <i>
      <x v="19"/>
    </i>
    <i>
      <x v="4"/>
    </i>
    <i>
      <x v="8"/>
    </i>
    <i>
      <x v="5"/>
    </i>
    <i>
      <x v="18"/>
    </i>
    <i>
      <x v="2"/>
    </i>
    <i>
      <x v="11"/>
    </i>
    <i>
      <x v="3"/>
    </i>
    <i>
      <x v="13"/>
    </i>
    <i>
      <x v="12"/>
    </i>
    <i t="grand">
      <x/>
    </i>
  </rowItems>
  <colFields count="1">
    <field x="27"/>
  </colFields>
  <colItems count="4">
    <i>
      <x/>
    </i>
    <i>
      <x v="1"/>
    </i>
    <i>
      <x v="2"/>
    </i>
    <i t="grand">
      <x/>
    </i>
  </colItems>
  <dataFields count="1">
    <dataField name="Count of booking_id" fld="1" subtotal="count" baseField="0" baseItem="0"/>
  </dataFields>
  <chartFormats count="6">
    <chartFormat chart="16" format="0" series="1">
      <pivotArea type="data" outline="0" fieldPosition="0">
        <references count="2">
          <reference field="4294967294" count="1" selected="0">
            <x v="0"/>
          </reference>
          <reference field="27" count="1" selected="0">
            <x v="0"/>
          </reference>
        </references>
      </pivotArea>
    </chartFormat>
    <chartFormat chart="16" format="1" series="1">
      <pivotArea type="data" outline="0" fieldPosition="0">
        <references count="2">
          <reference field="4294967294" count="1" selected="0">
            <x v="0"/>
          </reference>
          <reference field="27" count="1" selected="0">
            <x v="1"/>
          </reference>
        </references>
      </pivotArea>
    </chartFormat>
    <chartFormat chart="16" format="2" series="1">
      <pivotArea type="data" outline="0" fieldPosition="0">
        <references count="2">
          <reference field="4294967294" count="1" selected="0">
            <x v="0"/>
          </reference>
          <reference field="27" count="1" selected="0">
            <x v="2"/>
          </reference>
        </references>
      </pivotArea>
    </chartFormat>
    <chartFormat chart="18" format="6" series="1">
      <pivotArea type="data" outline="0" fieldPosition="0">
        <references count="2">
          <reference field="4294967294" count="1" selected="0">
            <x v="0"/>
          </reference>
          <reference field="27" count="1" selected="0">
            <x v="0"/>
          </reference>
        </references>
      </pivotArea>
    </chartFormat>
    <chartFormat chart="18" format="7" series="1">
      <pivotArea type="data" outline="0" fieldPosition="0">
        <references count="2">
          <reference field="4294967294" count="1" selected="0">
            <x v="0"/>
          </reference>
          <reference field="27" count="1" selected="0">
            <x v="1"/>
          </reference>
        </references>
      </pivotArea>
    </chartFormat>
    <chartFormat chart="18" format="8" series="1">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835203-AC1F-4DEB-81A6-140D86BBD96E}" name="PivotTable20"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83:B96" firstHeaderRow="1" firstDataRow="1" firstDataCol="1"/>
  <pivotFields count="11">
    <pivotField showAll="0"/>
    <pivotField showAll="0"/>
    <pivotField axis="axisRow" showAll="0">
      <items count="13">
        <item x="7"/>
        <item x="4"/>
        <item x="2"/>
        <item x="5"/>
        <item x="3"/>
        <item x="11"/>
        <item x="8"/>
        <item x="10"/>
        <item x="9"/>
        <item x="0"/>
        <item x="6"/>
        <item x="1"/>
        <item t="default"/>
      </items>
    </pivotField>
    <pivotField showAll="0"/>
    <pivotField showAll="0"/>
    <pivotField dataField="1" showAll="0"/>
    <pivotField showAll="0"/>
    <pivotField showAll="0"/>
    <pivotField showAll="0"/>
    <pivotField showAll="0">
      <items count="3">
        <item x="1"/>
        <item x="0"/>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rating" fld="5" baseField="0" baseItem="0"/>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00EF6A-D22A-4F23-9CB2-181ABF4609BE}" name="PivotTable19"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X19:AF63" firstHeaderRow="1" firstDataRow="2" firstDataCol="1"/>
  <pivotFields count="50">
    <pivotField showAll="0"/>
    <pivotField dataField="1" showAll="0"/>
    <pivotField axis="axisRow" showAll="0" sortType="ascending">
      <items count="43">
        <item x="18"/>
        <item x="40"/>
        <item x="3"/>
        <item x="27"/>
        <item x="21"/>
        <item x="4"/>
        <item x="11"/>
        <item x="23"/>
        <item x="14"/>
        <item x="8"/>
        <item x="9"/>
        <item x="33"/>
        <item x="13"/>
        <item x="12"/>
        <item x="30"/>
        <item x="20"/>
        <item x="0"/>
        <item x="38"/>
        <item x="17"/>
        <item x="34"/>
        <item x="28"/>
        <item x="5"/>
        <item x="1"/>
        <item x="15"/>
        <item x="24"/>
        <item x="6"/>
        <item x="22"/>
        <item x="37"/>
        <item x="29"/>
        <item x="2"/>
        <item x="39"/>
        <item x="26"/>
        <item x="41"/>
        <item x="10"/>
        <item x="19"/>
        <item x="32"/>
        <item x="16"/>
        <item x="7"/>
        <item x="25"/>
        <item x="35"/>
        <item x="36"/>
        <item x="31"/>
        <item t="default"/>
      </items>
      <autoSortScope>
        <pivotArea dataOnly="0" outline="0" fieldPosition="0">
          <references count="2">
            <reference field="4294967294" count="1" selected="0">
              <x v="0"/>
            </reference>
            <reference field="14" count="1" selected="0">
              <x v="3"/>
            </reference>
          </references>
        </pivotArea>
      </autoSortScope>
    </pivotField>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showAll="0"/>
    <pivotField showAll="0"/>
    <pivotField axis="axisCol" showAll="0">
      <items count="8">
        <item x="3"/>
        <item x="5"/>
        <item x="2"/>
        <item x="0"/>
        <item x="6"/>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3">
    <i>
      <x v="20"/>
    </i>
    <i>
      <x v="21"/>
    </i>
    <i>
      <x v="2"/>
    </i>
    <i>
      <x v="41"/>
    </i>
    <i>
      <x v="40"/>
    </i>
    <i>
      <x v="3"/>
    </i>
    <i>
      <x v="5"/>
    </i>
    <i>
      <x v="7"/>
    </i>
    <i>
      <x v="39"/>
    </i>
    <i>
      <x v="24"/>
    </i>
    <i>
      <x v="9"/>
    </i>
    <i>
      <x v="26"/>
    </i>
    <i>
      <x v="11"/>
    </i>
    <i>
      <x v="27"/>
    </i>
    <i>
      <x v="13"/>
    </i>
    <i>
      <x v="28"/>
    </i>
    <i>
      <x v="19"/>
    </i>
    <i>
      <x v="29"/>
    </i>
    <i>
      <x v="4"/>
    </i>
    <i>
      <x v="31"/>
    </i>
    <i>
      <x v="10"/>
    </i>
    <i>
      <x v="33"/>
    </i>
    <i>
      <x v="18"/>
    </i>
    <i>
      <x v="34"/>
    </i>
    <i>
      <x v="8"/>
    </i>
    <i>
      <x v="35"/>
    </i>
    <i>
      <x/>
    </i>
    <i>
      <x v="36"/>
    </i>
    <i>
      <x v="12"/>
    </i>
    <i>
      <x v="37"/>
    </i>
    <i>
      <x v="23"/>
    </i>
    <i>
      <x v="16"/>
    </i>
    <i>
      <x v="14"/>
    </i>
    <i>
      <x v="30"/>
    </i>
    <i>
      <x v="15"/>
    </i>
    <i>
      <x v="38"/>
    </i>
    <i>
      <x v="6"/>
    </i>
    <i>
      <x v="25"/>
    </i>
    <i>
      <x v="22"/>
    </i>
    <i>
      <x v="32"/>
    </i>
    <i>
      <x v="1"/>
    </i>
    <i>
      <x v="17"/>
    </i>
    <i t="grand">
      <x/>
    </i>
  </rowItems>
  <colFields count="1">
    <field x="14"/>
  </colFields>
  <colItems count="8">
    <i>
      <x/>
    </i>
    <i>
      <x v="1"/>
    </i>
    <i>
      <x v="2"/>
    </i>
    <i>
      <x v="3"/>
    </i>
    <i>
      <x v="4"/>
    </i>
    <i>
      <x v="5"/>
    </i>
    <i>
      <x v="6"/>
    </i>
    <i t="grand">
      <x/>
    </i>
  </colItems>
  <dataFields count="1">
    <dataField name="Count of booking_id" fld="1" subtotal="count" baseField="0" baseItem="0"/>
  </dataFields>
  <chartFormats count="15">
    <chartFormat chart="50" format="0" series="1">
      <pivotArea type="data" outline="0" fieldPosition="0">
        <references count="2">
          <reference field="4294967294" count="1" selected="0">
            <x v="0"/>
          </reference>
          <reference field="14" count="1" selected="0">
            <x v="0"/>
          </reference>
        </references>
      </pivotArea>
    </chartFormat>
    <chartFormat chart="50" format="1" series="1">
      <pivotArea type="data" outline="0" fieldPosition="0">
        <references count="2">
          <reference field="4294967294" count="1" selected="0">
            <x v="0"/>
          </reference>
          <reference field="14" count="1" selected="0">
            <x v="1"/>
          </reference>
        </references>
      </pivotArea>
    </chartFormat>
    <chartFormat chart="50" format="2" series="1">
      <pivotArea type="data" outline="0" fieldPosition="0">
        <references count="2">
          <reference field="4294967294" count="1" selected="0">
            <x v="0"/>
          </reference>
          <reference field="14" count="1" selected="0">
            <x v="2"/>
          </reference>
        </references>
      </pivotArea>
    </chartFormat>
    <chartFormat chart="50" format="3" series="1">
      <pivotArea type="data" outline="0" fieldPosition="0">
        <references count="2">
          <reference field="4294967294" count="1" selected="0">
            <x v="0"/>
          </reference>
          <reference field="14" count="1" selected="0">
            <x v="3"/>
          </reference>
        </references>
      </pivotArea>
    </chartFormat>
    <chartFormat chart="50" format="4" series="1">
      <pivotArea type="data" outline="0" fieldPosition="0">
        <references count="2">
          <reference field="4294967294" count="1" selected="0">
            <x v="0"/>
          </reference>
          <reference field="14" count="1" selected="0">
            <x v="4"/>
          </reference>
        </references>
      </pivotArea>
    </chartFormat>
    <chartFormat chart="50" format="5" series="1">
      <pivotArea type="data" outline="0" fieldPosition="0">
        <references count="2">
          <reference field="4294967294" count="1" selected="0">
            <x v="0"/>
          </reference>
          <reference field="14" count="1" selected="0">
            <x v="5"/>
          </reference>
        </references>
      </pivotArea>
    </chartFormat>
    <chartFormat chart="50" format="6" series="1">
      <pivotArea type="data" outline="0" fieldPosition="0">
        <references count="2">
          <reference field="4294967294" count="1" selected="0">
            <x v="0"/>
          </reference>
          <reference field="14" count="1" selected="0">
            <x v="6"/>
          </reference>
        </references>
      </pivotArea>
    </chartFormat>
    <chartFormat chart="52" format="14" series="1">
      <pivotArea type="data" outline="0" fieldPosition="0">
        <references count="2">
          <reference field="4294967294" count="1" selected="0">
            <x v="0"/>
          </reference>
          <reference field="14" count="1" selected="0">
            <x v="0"/>
          </reference>
        </references>
      </pivotArea>
    </chartFormat>
    <chartFormat chart="52" format="15" series="1">
      <pivotArea type="data" outline="0" fieldPosition="0">
        <references count="2">
          <reference field="4294967294" count="1" selected="0">
            <x v="0"/>
          </reference>
          <reference field="14" count="1" selected="0">
            <x v="1"/>
          </reference>
        </references>
      </pivotArea>
    </chartFormat>
    <chartFormat chart="52" format="16" series="1">
      <pivotArea type="data" outline="0" fieldPosition="0">
        <references count="2">
          <reference field="4294967294" count="1" selected="0">
            <x v="0"/>
          </reference>
          <reference field="14" count="1" selected="0">
            <x v="2"/>
          </reference>
        </references>
      </pivotArea>
    </chartFormat>
    <chartFormat chart="52" format="17" series="1">
      <pivotArea type="data" outline="0" fieldPosition="0">
        <references count="2">
          <reference field="4294967294" count="1" selected="0">
            <x v="0"/>
          </reference>
          <reference field="14" count="1" selected="0">
            <x v="3"/>
          </reference>
        </references>
      </pivotArea>
    </chartFormat>
    <chartFormat chart="52" format="18" series="1">
      <pivotArea type="data" outline="0" fieldPosition="0">
        <references count="2">
          <reference field="4294967294" count="1" selected="0">
            <x v="0"/>
          </reference>
          <reference field="14" count="1" selected="0">
            <x v="4"/>
          </reference>
        </references>
      </pivotArea>
    </chartFormat>
    <chartFormat chart="52" format="19" series="1">
      <pivotArea type="data" outline="0" fieldPosition="0">
        <references count="2">
          <reference field="4294967294" count="1" selected="0">
            <x v="0"/>
          </reference>
          <reference field="14" count="1" selected="0">
            <x v="5"/>
          </reference>
        </references>
      </pivotArea>
    </chartFormat>
    <chartFormat chart="52" format="20" series="1">
      <pivotArea type="data" outline="0" fieldPosition="0">
        <references count="2">
          <reference field="4294967294" count="1" selected="0">
            <x v="0"/>
          </reference>
          <reference field="14" count="1" selected="0">
            <x v="6"/>
          </reference>
        </references>
      </pivotArea>
    </chartFormat>
    <chartFormat chart="52" format="21">
      <pivotArea type="data" outline="0" fieldPosition="0">
        <references count="3">
          <reference field="4294967294" count="1" selected="0">
            <x v="0"/>
          </reference>
          <reference field="2" count="1" selected="0">
            <x v="17"/>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530427-6D38-4D0B-A77F-122838464034}" name="PivotTable16"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8:M76" firstHeaderRow="1" firstDataRow="1" firstDataCol="1"/>
  <pivotFields count="50">
    <pivotField showAll="0"/>
    <pivotField showAll="0"/>
    <pivotField showAll="0"/>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showAll="0"/>
    <pivotField showAll="0"/>
    <pivotField axis="axisRow" showAll="0">
      <items count="8">
        <item x="3"/>
        <item x="5"/>
        <item x="2"/>
        <item x="0"/>
        <item x="6"/>
        <item x="1"/>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i>
    <i>
      <x v="1"/>
    </i>
    <i>
      <x v="2"/>
    </i>
    <i>
      <x v="3"/>
    </i>
    <i>
      <x v="4"/>
    </i>
    <i>
      <x v="5"/>
    </i>
    <i>
      <x v="6"/>
    </i>
    <i t="grand">
      <x/>
    </i>
  </rowItems>
  <colItems count="1">
    <i/>
  </colItems>
  <dataFields count="1">
    <dataField name="Sum of total_am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05A72B-0808-499B-B609-270B4ED8F433}" name="PivotTable7"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9:R23" firstHeaderRow="1" firstDataRow="2" firstDataCol="1"/>
  <pivotFields count="50">
    <pivotField showAll="0"/>
    <pivotField dataField="1" showAll="0"/>
    <pivotField showAll="0"/>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41"/>
  </rowFields>
  <rowItems count="3">
    <i>
      <x/>
    </i>
    <i>
      <x v="1"/>
    </i>
    <i t="grand">
      <x/>
    </i>
  </rowItems>
  <colFields count="1">
    <field x="27"/>
  </colFields>
  <colItems count="4">
    <i>
      <x/>
    </i>
    <i>
      <x v="1"/>
    </i>
    <i>
      <x v="2"/>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23EF98-A221-48EE-AEAE-03CD5EE63C50}" name="PivotTable6"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I63" firstHeaderRow="1" firstDataRow="2" firstDataCol="1"/>
  <pivotFields count="50">
    <pivotField showAll="0"/>
    <pivotField dataField="1" showAll="0"/>
    <pivotField axis="axisRow" showAll="0">
      <items count="43">
        <item x="18"/>
        <item x="40"/>
        <item x="3"/>
        <item x="27"/>
        <item x="21"/>
        <item x="4"/>
        <item x="11"/>
        <item x="23"/>
        <item x="14"/>
        <item x="8"/>
        <item x="9"/>
        <item x="33"/>
        <item x="13"/>
        <item x="12"/>
        <item x="30"/>
        <item x="20"/>
        <item x="0"/>
        <item x="38"/>
        <item x="17"/>
        <item x="34"/>
        <item x="28"/>
        <item x="5"/>
        <item x="1"/>
        <item x="15"/>
        <item x="24"/>
        <item x="6"/>
        <item x="22"/>
        <item x="37"/>
        <item x="29"/>
        <item x="2"/>
        <item x="39"/>
        <item x="26"/>
        <item x="41"/>
        <item x="10"/>
        <item x="19"/>
        <item x="32"/>
        <item x="16"/>
        <item x="7"/>
        <item x="25"/>
        <item x="35"/>
        <item x="36"/>
        <item x="31"/>
        <item t="default"/>
      </items>
    </pivotField>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showAll="0"/>
    <pivotField showAll="0"/>
    <pivotField axis="axisCol" showAll="0">
      <items count="8">
        <item x="3"/>
        <item x="5"/>
        <item x="2"/>
        <item x="0"/>
        <item x="6"/>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14"/>
  </colFields>
  <colItems count="8">
    <i>
      <x/>
    </i>
    <i>
      <x v="1"/>
    </i>
    <i>
      <x v="2"/>
    </i>
    <i>
      <x v="3"/>
    </i>
    <i>
      <x v="4"/>
    </i>
    <i>
      <x v="5"/>
    </i>
    <i>
      <x v="6"/>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D28265-397A-4876-9B82-19763B6EFC9C}" name="PivotTable1"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D14" firstHeaderRow="1" firstDataRow="2" firstDataCol="1"/>
  <pivotFields count="50">
    <pivotField showAll="0"/>
    <pivotField dataField="1" showAll="0"/>
    <pivotField showAll="0"/>
    <pivotField showAll="0"/>
    <pivotField showAll="0"/>
    <pivotField showAll="0"/>
    <pivotField showAll="0">
      <items count="8">
        <item x="0"/>
        <item x="1"/>
        <item x="4"/>
        <item x="5"/>
        <item x="6"/>
        <item x="2"/>
        <item x="3"/>
        <item t="default"/>
      </items>
    </pivotField>
    <pivotField showAll="0">
      <items count="20">
        <item x="14"/>
        <item x="12"/>
        <item x="16"/>
        <item x="17"/>
        <item x="15"/>
        <item x="18"/>
        <item x="1"/>
        <item x="3"/>
        <item x="0"/>
        <item x="4"/>
        <item x="2"/>
        <item x="6"/>
        <item x="8"/>
        <item x="5"/>
        <item x="10"/>
        <item x="11"/>
        <item x="7"/>
        <item x="13"/>
        <item x="9"/>
        <item t="default"/>
      </items>
    </pivotField>
    <pivotField showAll="0">
      <items count="3">
        <item x="1"/>
        <item x="0"/>
        <item t="default"/>
      </items>
    </pivotField>
    <pivotField numFmtId="14" showAll="0"/>
    <pivotField numFmtId="164" showAll="0"/>
    <pivotField numFmtId="164" showAll="0"/>
    <pivotField showAll="0"/>
    <pivotField showAll="0"/>
    <pivotField axis="axisRow" showAll="0">
      <items count="8">
        <item x="3"/>
        <item x="5"/>
        <item x="2"/>
        <item x="0"/>
        <item x="6"/>
        <item x="1"/>
        <item x="4"/>
        <item t="default"/>
      </items>
    </pivotField>
    <pivotField axis="axisCol" showAll="0">
      <items count="29">
        <item x="26"/>
        <item x="14"/>
        <item x="20"/>
        <item x="2"/>
        <item x="21"/>
        <item x="12"/>
        <item x="19"/>
        <item x="6"/>
        <item x="15"/>
        <item x="1"/>
        <item x="11"/>
        <item x="23"/>
        <item x="27"/>
        <item x="9"/>
        <item x="17"/>
        <item x="25"/>
        <item x="8"/>
        <item x="7"/>
        <item x="18"/>
        <item x="13"/>
        <item x="10"/>
        <item x="24"/>
        <item x="5"/>
        <item x="0"/>
        <item x="16"/>
        <item x="4"/>
        <item x="3"/>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i>
    <i>
      <x v="1"/>
    </i>
    <i>
      <x v="2"/>
    </i>
    <i>
      <x v="3"/>
    </i>
    <i>
      <x v="4"/>
    </i>
    <i>
      <x v="5"/>
    </i>
    <i>
      <x v="6"/>
    </i>
    <i t="grand">
      <x/>
    </i>
  </rowItems>
  <colFields count="1">
    <field x="15"/>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colItems>
  <dataFields count="1">
    <dataField name="Count of booking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83D3AE-5C5C-4C89-B65E-B4E705561A21}" name="PivotTable35" cacheId="119"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R21:V44" firstHeaderRow="1" firstDataRow="2" firstDataCol="1"/>
  <pivotFields count="50">
    <pivotField showAll="0"/>
    <pivotField dataField="1" showAll="0"/>
    <pivotField showAll="0"/>
    <pivotField showAll="0"/>
    <pivotField showAll="0"/>
    <pivotField showAll="0"/>
    <pivotField showAll="0">
      <items count="8">
        <item x="0"/>
        <item x="1"/>
        <item x="4"/>
        <item x="5"/>
        <item x="6"/>
        <item x="2"/>
        <item x="3"/>
        <item t="default"/>
      </items>
    </pivotField>
    <pivotField showAll="0"/>
    <pivotField showAll="0">
      <items count="3">
        <item x="1"/>
        <item x="0"/>
        <item t="default"/>
      </items>
    </pivotField>
    <pivotField numFmtId="14" showAll="0"/>
    <pivotField numFmtId="164" showAll="0"/>
    <pivotField numFmtId="164" showAll="0"/>
    <pivotField axis="axisRow" showAll="0">
      <items count="22">
        <item x="8"/>
        <item x="2"/>
        <item x="5"/>
        <item x="9"/>
        <item x="11"/>
        <item x="14"/>
        <item x="18"/>
        <item x="1"/>
        <item x="6"/>
        <item x="16"/>
        <item x="0"/>
        <item x="7"/>
        <item x="15"/>
        <item x="12"/>
        <item x="4"/>
        <item x="19"/>
        <item x="3"/>
        <item x="17"/>
        <item x="10"/>
        <item x="13"/>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2">
    <i>
      <x/>
    </i>
    <i>
      <x v="1"/>
    </i>
    <i>
      <x v="2"/>
    </i>
    <i>
      <x v="3"/>
    </i>
    <i>
      <x v="4"/>
    </i>
    <i>
      <x v="5"/>
    </i>
    <i>
      <x v="6"/>
    </i>
    <i>
      <x v="7"/>
    </i>
    <i>
      <x v="8"/>
    </i>
    <i>
      <x v="9"/>
    </i>
    <i>
      <x v="10"/>
    </i>
    <i>
      <x v="11"/>
    </i>
    <i>
      <x v="12"/>
    </i>
    <i>
      <x v="13"/>
    </i>
    <i>
      <x v="14"/>
    </i>
    <i>
      <x v="15"/>
    </i>
    <i>
      <x v="16"/>
    </i>
    <i>
      <x v="17"/>
    </i>
    <i>
      <x v="18"/>
    </i>
    <i>
      <x v="19"/>
    </i>
    <i>
      <x v="20"/>
    </i>
    <i t="grand">
      <x/>
    </i>
  </rowItems>
  <colFields count="1">
    <field x="27"/>
  </colFields>
  <colItems count="4">
    <i>
      <x/>
    </i>
    <i>
      <x v="1"/>
    </i>
    <i>
      <x v="2"/>
    </i>
    <i t="grand">
      <x/>
    </i>
  </colItems>
  <dataFields count="1">
    <dataField name="Top pickup Location" fld="1" subtotal="count" baseField="0" baseItem="0"/>
  </dataFields>
  <formats count="10">
    <format dxfId="292">
      <pivotArea type="all" dataOnly="0" outline="0" fieldPosition="0"/>
    </format>
    <format dxfId="291">
      <pivotArea outline="0" collapsedLevelsAreSubtotals="1" fieldPosition="0"/>
    </format>
    <format dxfId="290">
      <pivotArea type="origin" dataOnly="0" labelOnly="1" outline="0" fieldPosition="0"/>
    </format>
    <format dxfId="289">
      <pivotArea type="topRight" dataOnly="0" labelOnly="1" outline="0" fieldPosition="0"/>
    </format>
    <format dxfId="288">
      <pivotArea dataOnly="0" labelOnly="1" fieldPosition="0">
        <references count="1">
          <reference field="12" count="0"/>
        </references>
      </pivotArea>
    </format>
    <format dxfId="287">
      <pivotArea dataOnly="0" labelOnly="1" grandRow="1" outline="0" fieldPosition="0"/>
    </format>
    <format dxfId="286">
      <pivotArea dataOnly="0" labelOnly="1" fieldPosition="0">
        <references count="1">
          <reference field="27" count="0"/>
        </references>
      </pivotArea>
    </format>
    <format dxfId="285">
      <pivotArea dataOnly="0" labelOnly="1" grandCol="1" outline="0" fieldPosition="0"/>
    </format>
    <format dxfId="284">
      <pivotArea type="origin" dataOnly="0" labelOnly="1" outline="0" fieldPosition="0"/>
    </format>
    <format dxfId="279">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FD3BD3-A8E9-4255-B882-F9FB70176F07}" name="PivotTable34" cacheId="118"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N21:P30" firstHeaderRow="1" firstDataRow="2" firstDataCol="1"/>
  <pivotFields count="9">
    <pivotField showAll="0"/>
    <pivotField axis="axisRow" showAll="0">
      <items count="8">
        <item x="2"/>
        <item x="0"/>
        <item x="3"/>
        <item x="4"/>
        <item x="6"/>
        <item x="5"/>
        <item x="1"/>
        <item t="default"/>
      </items>
    </pivotField>
    <pivotField showAll="0"/>
    <pivotField dataField="1" showAll="0"/>
    <pivotField showAll="0"/>
    <pivotField numFmtId="14" showAll="0"/>
    <pivotField numFmtId="14" showAll="0"/>
    <pivotField axis="axisCol" showAll="0">
      <items count="2">
        <item x="0"/>
        <item t="default"/>
      </items>
    </pivotField>
    <pivotField numFmtId="22" showAll="0"/>
  </pivotFields>
  <rowFields count="1">
    <field x="1"/>
  </rowFields>
  <rowItems count="8">
    <i>
      <x/>
    </i>
    <i>
      <x v="1"/>
    </i>
    <i>
      <x v="2"/>
    </i>
    <i>
      <x v="3"/>
    </i>
    <i>
      <x v="4"/>
    </i>
    <i>
      <x v="5"/>
    </i>
    <i>
      <x v="6"/>
    </i>
    <i t="grand">
      <x/>
    </i>
  </rowItems>
  <colFields count="1">
    <field x="7"/>
  </colFields>
  <colItems count="2">
    <i>
      <x/>
    </i>
    <i t="grand">
      <x/>
    </i>
  </colItems>
  <dataFields count="1">
    <dataField name="On sale Cars" fld="3" baseField="0" baseItem="0"/>
  </dataFields>
  <formats count="17">
    <format dxfId="307">
      <pivotArea type="all" dataOnly="0" outline="0" fieldPosition="0"/>
    </format>
    <format dxfId="306">
      <pivotArea outline="0" collapsedLevelsAreSubtotals="1" fieldPosition="0"/>
    </format>
    <format dxfId="305">
      <pivotArea type="origin" dataOnly="0" labelOnly="1" outline="0" fieldPosition="0"/>
    </format>
    <format dxfId="304">
      <pivotArea type="topRight" dataOnly="0" labelOnly="1" outline="0" fieldPosition="0"/>
    </format>
    <format dxfId="303">
      <pivotArea dataOnly="0" labelOnly="1" fieldPosition="0">
        <references count="1">
          <reference field="1" count="0"/>
        </references>
      </pivotArea>
    </format>
    <format dxfId="302">
      <pivotArea dataOnly="0" labelOnly="1" grandRow="1" outline="0" fieldPosition="0"/>
    </format>
    <format dxfId="301">
      <pivotArea dataOnly="0" labelOnly="1" fieldPosition="0">
        <references count="1">
          <reference field="7" count="0"/>
        </references>
      </pivotArea>
    </format>
    <format dxfId="300">
      <pivotArea dataOnly="0" labelOnly="1" grandCol="1" outline="0" fieldPosition="0"/>
    </format>
    <format dxfId="299">
      <pivotArea type="all" dataOnly="0" outline="0" fieldPosition="0"/>
    </format>
    <format dxfId="298">
      <pivotArea outline="0" collapsedLevelsAreSubtotals="1" fieldPosition="0"/>
    </format>
    <format dxfId="297">
      <pivotArea type="topRight" dataOnly="0" labelOnly="1" outline="0" fieldPosition="0"/>
    </format>
    <format dxfId="296">
      <pivotArea dataOnly="0" labelOnly="1" fieldPosition="0">
        <references count="1">
          <reference field="1" count="0"/>
        </references>
      </pivotArea>
    </format>
    <format dxfId="295">
      <pivotArea dataOnly="0" labelOnly="1" grandRow="1" outline="0" fieldPosition="0"/>
    </format>
    <format dxfId="294">
      <pivotArea dataOnly="0" labelOnly="1" fieldPosition="0">
        <references count="1">
          <reference field="7" count="0"/>
        </references>
      </pivotArea>
    </format>
    <format dxfId="293">
      <pivotArea dataOnly="0" labelOnly="1" grandCol="1" outline="0" fieldPosition="0"/>
    </format>
    <format dxfId="283">
      <pivotArea type="origin" dataOnly="0" labelOnly="1" outline="0" fieldPosition="0"/>
    </format>
    <format dxfId="278">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E22B19-7724-48AD-A1CA-35D0C2D1EC54}" name="PivotTable33" cacheId="119"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H21:L65" firstHeaderRow="1" firstDataRow="2" firstDataCol="1"/>
  <pivotFields count="50">
    <pivotField showAll="0"/>
    <pivotField dataField="1" showAll="0"/>
    <pivotField axis="axisRow" showAll="0" sortType="descending">
      <items count="43">
        <item x="18"/>
        <item x="40"/>
        <item x="3"/>
        <item x="27"/>
        <item x="21"/>
        <item x="4"/>
        <item x="11"/>
        <item x="23"/>
        <item x="14"/>
        <item x="8"/>
        <item x="9"/>
        <item x="33"/>
        <item x="13"/>
        <item x="12"/>
        <item x="30"/>
        <item x="20"/>
        <item x="0"/>
        <item x="38"/>
        <item x="17"/>
        <item x="34"/>
        <item x="28"/>
        <item x="5"/>
        <item x="1"/>
        <item x="15"/>
        <item x="24"/>
        <item x="6"/>
        <item x="22"/>
        <item x="37"/>
        <item x="29"/>
        <item x="2"/>
        <item x="39"/>
        <item x="26"/>
        <item x="41"/>
        <item x="10"/>
        <item x="19"/>
        <item x="32"/>
        <item x="16"/>
        <item x="7"/>
        <item x="25"/>
        <item x="35"/>
        <item x="36"/>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
        <item x="0"/>
        <item x="1"/>
        <item x="4"/>
        <item x="5"/>
        <item x="6"/>
        <item x="2"/>
        <item x="3"/>
        <item t="default"/>
      </items>
    </pivotField>
    <pivotField showAll="0"/>
    <pivotField showAll="0">
      <items count="3">
        <item x="1"/>
        <item x="0"/>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3">
    <i>
      <x v="22"/>
    </i>
    <i>
      <x v="30"/>
    </i>
    <i>
      <x v="32"/>
    </i>
    <i>
      <x v="1"/>
    </i>
    <i>
      <x v="17"/>
    </i>
    <i>
      <x v="5"/>
    </i>
    <i>
      <x v="28"/>
    </i>
    <i>
      <x v="24"/>
    </i>
    <i>
      <x v="6"/>
    </i>
    <i>
      <x v="4"/>
    </i>
    <i>
      <x v="7"/>
    </i>
    <i>
      <x v="2"/>
    </i>
    <i>
      <x v="8"/>
    </i>
    <i>
      <x v="26"/>
    </i>
    <i>
      <x v="9"/>
    </i>
    <i>
      <x v="3"/>
    </i>
    <i>
      <x v="10"/>
    </i>
    <i>
      <x v="34"/>
    </i>
    <i>
      <x v="11"/>
    </i>
    <i>
      <x v="21"/>
    </i>
    <i>
      <x v="12"/>
    </i>
    <i>
      <x v="23"/>
    </i>
    <i>
      <x v="13"/>
    </i>
    <i>
      <x v="25"/>
    </i>
    <i>
      <x v="14"/>
    </i>
    <i>
      <x v="27"/>
    </i>
    <i>
      <x v="15"/>
    </i>
    <i>
      <x v="29"/>
    </i>
    <i>
      <x v="16"/>
    </i>
    <i>
      <x v="31"/>
    </i>
    <i>
      <x v="36"/>
    </i>
    <i>
      <x v="33"/>
    </i>
    <i>
      <x v="37"/>
    </i>
    <i>
      <x v="35"/>
    </i>
    <i>
      <x v="39"/>
    </i>
    <i>
      <x v="41"/>
    </i>
    <i>
      <x v="38"/>
    </i>
    <i>
      <x v="18"/>
    </i>
    <i>
      <x v="40"/>
    </i>
    <i>
      <x v="19"/>
    </i>
    <i>
      <x/>
    </i>
    <i>
      <x v="20"/>
    </i>
    <i t="grand">
      <x/>
    </i>
  </rowItems>
  <colFields count="1">
    <field x="27"/>
  </colFields>
  <colItems count="4">
    <i>
      <x/>
    </i>
    <i>
      <x v="1"/>
    </i>
    <i>
      <x v="2"/>
    </i>
    <i t="grand">
      <x/>
    </i>
  </colItems>
  <dataFields count="1">
    <dataField name="Customers" fld="1" subtotal="count" baseField="0" baseItem="0"/>
  </dataFields>
  <formats count="10">
    <format dxfId="315">
      <pivotArea type="all" dataOnly="0" outline="0" fieldPosition="0"/>
    </format>
    <format dxfId="314">
      <pivotArea outline="0" collapsedLevelsAreSubtotals="1" fieldPosition="0"/>
    </format>
    <format dxfId="313">
      <pivotArea type="origin" dataOnly="0" labelOnly="1" outline="0" fieldPosition="0"/>
    </format>
    <format dxfId="312">
      <pivotArea type="topRight" dataOnly="0" labelOnly="1" outline="0" fieldPosition="0"/>
    </format>
    <format dxfId="311">
      <pivotArea dataOnly="0" labelOnly="1" fieldPosition="0">
        <references count="1">
          <reference field="2" count="0"/>
        </references>
      </pivotArea>
    </format>
    <format dxfId="310">
      <pivotArea dataOnly="0" labelOnly="1" grandRow="1" outline="0" fieldPosition="0"/>
    </format>
    <format dxfId="309">
      <pivotArea dataOnly="0" labelOnly="1" fieldPosition="0">
        <references count="1">
          <reference field="27" count="0"/>
        </references>
      </pivotArea>
    </format>
    <format dxfId="308">
      <pivotArea dataOnly="0" labelOnly="1" grandCol="1" outline="0" fieldPosition="0"/>
    </format>
    <format dxfId="280">
      <pivotArea type="origin" dataOnly="0" labelOnly="1" outline="0" fieldPosition="0"/>
    </format>
    <format dxfId="277">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FA9D709-E32B-425E-B3DA-FB6CF0699D6F}" name="PivotTable31" cacheId="106"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E21:F34" firstHeaderRow="1" firstDataRow="1" firstDataCol="1"/>
  <pivotFields count="11">
    <pivotField showAll="0"/>
    <pivotField showAll="0"/>
    <pivotField axis="axisRow" showAll="0" sortType="descending">
      <items count="13">
        <item x="7"/>
        <item x="4"/>
        <item x="2"/>
        <item x="5"/>
        <item x="3"/>
        <item x="11"/>
        <item x="8"/>
        <item x="10"/>
        <item x="9"/>
        <item x="0"/>
        <item x="6"/>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s>
  <rowFields count="1">
    <field x="2"/>
  </rowFields>
  <rowItems count="13">
    <i>
      <x v="11"/>
    </i>
    <i>
      <x v="9"/>
    </i>
    <i>
      <x v="2"/>
    </i>
    <i>
      <x v="1"/>
    </i>
    <i>
      <x v="8"/>
    </i>
    <i>
      <x/>
    </i>
    <i>
      <x v="4"/>
    </i>
    <i>
      <x v="5"/>
    </i>
    <i>
      <x v="7"/>
    </i>
    <i>
      <x v="10"/>
    </i>
    <i>
      <x v="3"/>
    </i>
    <i>
      <x v="6"/>
    </i>
    <i t="grand">
      <x/>
    </i>
  </rowItems>
  <colItems count="1">
    <i/>
  </colItems>
  <dataFields count="1">
    <dataField name="Top ratings" fld="5" baseField="2" baseItem="11"/>
  </dataFields>
  <formats count="11">
    <format dxfId="326">
      <pivotArea type="all" dataOnly="0" outline="0" fieldPosition="0"/>
    </format>
    <format dxfId="325">
      <pivotArea outline="0" collapsedLevelsAreSubtotals="1" fieldPosition="0"/>
    </format>
    <format dxfId="324">
      <pivotArea dataOnly="0" labelOnly="1" fieldPosition="0">
        <references count="1">
          <reference field="2" count="0"/>
        </references>
      </pivotArea>
    </format>
    <format dxfId="323">
      <pivotArea dataOnly="0" labelOnly="1" grandRow="1" outline="0" fieldPosition="0"/>
    </format>
    <format dxfId="322">
      <pivotArea type="all" dataOnly="0" outline="0" fieldPosition="0"/>
    </format>
    <format dxfId="321">
      <pivotArea outline="0" collapsedLevelsAreSubtotals="1" fieldPosition="0"/>
    </format>
    <format dxfId="320">
      <pivotArea dataOnly="0" labelOnly="1" fieldPosition="0">
        <references count="1">
          <reference field="2" count="0"/>
        </references>
      </pivotArea>
    </format>
    <format dxfId="319">
      <pivotArea dataOnly="0" labelOnly="1" grandRow="1" outline="0" fieldPosition="0"/>
    </format>
    <format dxfId="318">
      <pivotArea dataOnly="0" labelOnly="1" outline="0" axis="axisValues" fieldPosition="0"/>
    </format>
    <format dxfId="282">
      <pivotArea dataOnly="0" labelOnly="1" outline="0" axis="axisValues" fieldPosition="0"/>
    </format>
    <format dxfId="2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F49D092-190F-476D-8A81-3DDEC74AD3B0}" name="PivotTable30" cacheId="119"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E9:I18" firstHeaderRow="1" firstDataRow="2" firstDataCol="1"/>
  <pivotFields count="50">
    <pivotField showAll="0"/>
    <pivotField dataField="1" showAll="0"/>
    <pivotField showAll="0"/>
    <pivotField showAll="0"/>
    <pivotField showAll="0"/>
    <pivotField showAll="0"/>
    <pivotField showAll="0">
      <items count="8">
        <item x="0"/>
        <item x="1"/>
        <item x="4"/>
        <item x="5"/>
        <item x="6"/>
        <item x="2"/>
        <item x="3"/>
        <item t="default"/>
      </items>
    </pivotField>
    <pivotField showAll="0"/>
    <pivotField showAll="0">
      <items count="3">
        <item x="1"/>
        <item x="0"/>
        <item t="default"/>
      </items>
    </pivotField>
    <pivotField numFmtId="14" showAll="0"/>
    <pivotField numFmtId="164" showAll="0"/>
    <pivotField numFmtId="164" showAll="0"/>
    <pivotField showAll="0"/>
    <pivotField showAll="0"/>
    <pivotField axis="axisRow" showAll="0">
      <items count="8">
        <item x="3"/>
        <item x="5"/>
        <item x="2"/>
        <item x="0"/>
        <item x="6"/>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i>
    <i>
      <x v="1"/>
    </i>
    <i>
      <x v="2"/>
    </i>
    <i>
      <x v="3"/>
    </i>
    <i>
      <x v="4"/>
    </i>
    <i>
      <x v="5"/>
    </i>
    <i>
      <x v="6"/>
    </i>
    <i t="grand">
      <x/>
    </i>
  </rowItems>
  <colFields count="1">
    <field x="27"/>
  </colFields>
  <colItems count="4">
    <i>
      <x/>
    </i>
    <i>
      <x v="1"/>
    </i>
    <i>
      <x v="2"/>
    </i>
    <i t="grand">
      <x/>
    </i>
  </colItems>
  <dataFields count="1">
    <dataField name="Status Of Each Car Type" fld="1" subtotal="count" baseField="0" baseItem="0"/>
  </dataFields>
  <formats count="28">
    <format dxfId="350">
      <pivotArea type="all" dataOnly="0" outline="0" fieldPosition="0"/>
    </format>
    <format dxfId="349">
      <pivotArea outline="0" collapsedLevelsAreSubtotals="1" fieldPosition="0"/>
    </format>
    <format dxfId="348">
      <pivotArea type="origin" dataOnly="0" labelOnly="1" outline="0" fieldPosition="0"/>
    </format>
    <format dxfId="347">
      <pivotArea type="topRight" dataOnly="0" labelOnly="1" outline="0" fieldPosition="0"/>
    </format>
    <format dxfId="346">
      <pivotArea dataOnly="0" labelOnly="1" fieldPosition="0">
        <references count="1">
          <reference field="14" count="0"/>
        </references>
      </pivotArea>
    </format>
    <format dxfId="345">
      <pivotArea dataOnly="0" labelOnly="1" grandRow="1" outline="0" fieldPosition="0"/>
    </format>
    <format dxfId="344">
      <pivotArea dataOnly="0" labelOnly="1" fieldPosition="0">
        <references count="1">
          <reference field="27" count="0"/>
        </references>
      </pivotArea>
    </format>
    <format dxfId="343">
      <pivotArea dataOnly="0" labelOnly="1" grandCol="1" outline="0" fieldPosition="0"/>
    </format>
    <format dxfId="342">
      <pivotArea type="all" dataOnly="0" outline="0" fieldPosition="0"/>
    </format>
    <format dxfId="341">
      <pivotArea outline="0" collapsedLevelsAreSubtotals="1" fieldPosition="0"/>
    </format>
    <format dxfId="340">
      <pivotArea type="topRight" dataOnly="0" labelOnly="1" outline="0" fieldPosition="0"/>
    </format>
    <format dxfId="339">
      <pivotArea dataOnly="0" labelOnly="1" fieldPosition="0">
        <references count="1">
          <reference field="14" count="0"/>
        </references>
      </pivotArea>
    </format>
    <format dxfId="338">
      <pivotArea dataOnly="0" labelOnly="1" grandRow="1" outline="0" fieldPosition="0"/>
    </format>
    <format dxfId="337">
      <pivotArea dataOnly="0" labelOnly="1" fieldPosition="0">
        <references count="1">
          <reference field="27" count="0"/>
        </references>
      </pivotArea>
    </format>
    <format dxfId="336">
      <pivotArea dataOnly="0" labelOnly="1" grandCol="1" outline="0" fieldPosition="0"/>
    </format>
    <format dxfId="335">
      <pivotArea grandRow="1" grandCol="1" outline="0" collapsedLevelsAreSubtotals="1" fieldPosition="0"/>
    </format>
    <format dxfId="334">
      <pivotArea field="27" grandRow="1" outline="0" collapsedLevelsAreSubtotals="1" axis="axisCol" fieldPosition="0">
        <references count="1">
          <reference field="27" count="1" selected="0">
            <x v="1"/>
          </reference>
        </references>
      </pivotArea>
    </format>
    <format dxfId="333">
      <pivotArea field="27" grandRow="1" outline="0" collapsedLevelsAreSubtotals="1" axis="axisCol" fieldPosition="0">
        <references count="1">
          <reference field="27" count="1" selected="0">
            <x v="1"/>
          </reference>
        </references>
      </pivotArea>
    </format>
    <format dxfId="332">
      <pivotArea field="27" grandRow="1" outline="0" collapsedLevelsAreSubtotals="1" axis="axisCol" fieldPosition="0">
        <references count="1">
          <reference field="27" count="1" selected="0">
            <x v="1"/>
          </reference>
        </references>
      </pivotArea>
    </format>
    <format dxfId="331">
      <pivotArea grandRow="1" grandCol="1" outline="0" collapsedLevelsAreSubtotals="1" fieldPosition="0"/>
    </format>
    <format dxfId="330">
      <pivotArea dataOnly="0" labelOnly="1" fieldPosition="0">
        <references count="1">
          <reference field="27" count="1">
            <x v="1"/>
          </reference>
        </references>
      </pivotArea>
    </format>
    <format dxfId="329">
      <pivotArea dataOnly="0" labelOnly="1" grandCol="1" outline="0" fieldPosition="0"/>
    </format>
    <format dxfId="328">
      <pivotArea field="27" grandRow="1" outline="0" collapsedLevelsAreSubtotals="1" axis="axisCol" fieldPosition="0">
        <references count="1">
          <reference field="27" count="1" selected="0">
            <x v="2"/>
          </reference>
        </references>
      </pivotArea>
    </format>
    <format dxfId="327">
      <pivotArea dataOnly="0" labelOnly="1" fieldPosition="0">
        <references count="1">
          <reference field="27" count="1">
            <x v="2"/>
          </reference>
        </references>
      </pivotArea>
    </format>
    <format dxfId="317">
      <pivotArea dataOnly="0" labelOnly="1" fieldPosition="0">
        <references count="1">
          <reference field="27" count="0"/>
        </references>
      </pivotArea>
    </format>
    <format dxfId="316">
      <pivotArea dataOnly="0" labelOnly="1" grandCol="1" outline="0" fieldPosition="0"/>
    </format>
    <format dxfId="281">
      <pivotArea type="origin" dataOnly="0" labelOnly="1" outline="0" fieldPosition="0"/>
    </format>
    <format dxfId="275">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9" xr16:uid="{0FE39285-5989-44EF-88BC-1BAC98475FB2}" autoFormatId="16" applyNumberFormats="0" applyBorderFormats="0" applyFontFormats="0" applyPatternFormats="0" applyAlignmentFormats="0" applyWidthHeightFormats="0">
  <queryTableRefresh nextId="13">
    <queryTableFields count="12">
      <queryTableField id="1" name="id" tableColumnId="1"/>
      <queryTableField id="2" name="agent_id" tableColumnId="2"/>
      <queryTableField id="3" name="agent_name" tableColumnId="3"/>
      <queryTableField id="4" name="email" tableColumnId="4"/>
      <queryTableField id="5" name="phone" tableColumnId="5"/>
      <queryTableField id="6" name="agency_name" tableColumnId="6"/>
      <queryTableField id="7" name="specialization" tableColumnId="7"/>
      <queryTableField id="8" name="commission_rate" tableColumnId="8"/>
      <queryTableField id="9" name="total_bookings" tableColumnId="9"/>
      <queryTableField id="10" name="total_commission" tableColumnId="10"/>
      <queryTableField id="11" name="status" tableColumnId="11"/>
      <queryTableField id="12" name="registered_dat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8" xr16:uid="{620DBB47-ACAF-4549-A02C-2E44CBCF64B6}" autoFormatId="16" applyNumberFormats="0" applyBorderFormats="0" applyFontFormats="0" applyPatternFormats="0" applyAlignmentFormats="0" applyWidthHeightFormats="0">
  <queryTableRefresh nextId="14">
    <queryTableFields count="13">
      <queryTableField id="1" name="id" tableColumnId="1"/>
      <queryTableField id="2" name="customer_id" tableColumnId="2"/>
      <queryTableField id="3" name="username" tableColumnId="3"/>
      <queryTableField id="4" name="password" tableColumnId="4"/>
      <queryTableField id="5" name="full_name" tableColumnId="5"/>
      <queryTableField id="6" name="email" tableColumnId="6"/>
      <queryTableField id="7" name="phone" tableColumnId="7"/>
      <queryTableField id="8" name="address" tableColumnId="8"/>
      <queryTableField id="9" name="profile_picture" tableColumnId="9"/>
      <queryTableField id="10" name="status" tableColumnId="10"/>
      <queryTableField id="11" name="last_login" tableColumnId="11"/>
      <queryTableField id="12" name="created_at" tableColumnId="12"/>
      <queryTableField id="13" name="updated_at"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7" xr16:uid="{8843D23D-EE3D-4F8F-AC21-DE9669E14369}" autoFormatId="16" applyNumberFormats="0" applyBorderFormats="0" applyFontFormats="0" applyPatternFormats="0" applyAlignmentFormats="0" applyWidthHeightFormats="0">
  <queryTableRefresh nextId="18">
    <queryTableFields count="17">
      <queryTableField id="1" name="id" tableColumnId="1"/>
      <queryTableField id="2" name="name" tableColumnId="2"/>
      <queryTableField id="3" name="type" tableColumnId="3"/>
      <queryTableField id="4" name="daily_rate" tableColumnId="4"/>
      <queryTableField id="5" name="image" tableColumnId="5"/>
      <queryTableField id="6" name="features" tableColumnId="6"/>
      <queryTableField id="7" name="fuel_type" tableColumnId="7"/>
      <queryTableField id="8" name="transmission" tableColumnId="8"/>
      <queryTableField id="9" name="seating_capacity" tableColumnId="9"/>
      <queryTableField id="10" name="mileage_limit" tableColumnId="10"/>
      <queryTableField id="11" name="car_year" tableColumnId="11"/>
      <queryTableField id="12" name="license_plate" tableColumnId="12"/>
      <queryTableField id="13" name="vin" tableColumnId="13"/>
      <queryTableField id="14" name="color" tableColumnId="14"/>
      <queryTableField id="15" name="status" tableColumnId="15"/>
      <queryTableField id="16" name="is_featured" tableColumnId="16"/>
      <queryTableField id="17" name="created_at"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6" xr16:uid="{4A9E972A-C1DA-4765-ACA4-968B8CA2AD5A}" autoFormatId="16" applyNumberFormats="0" applyBorderFormats="0" applyFontFormats="0" applyPatternFormats="0" applyAlignmentFormats="0" applyWidthHeightFormats="0">
  <queryTableRefresh nextId="10">
    <queryTableFields count="9">
      <queryTableField id="1" name="id" tableColumnId="1"/>
      <queryTableField id="2" name="car_model" tableColumnId="2"/>
      <queryTableField id="3" name="original_price" tableColumnId="3"/>
      <queryTableField id="4" name="sale_price" tableColumnId="4"/>
      <queryTableField id="5" name="discount_percentage" tableColumnId="5"/>
      <queryTableField id="6" name="sale_start" tableColumnId="6"/>
      <queryTableField id="7" name="sale_end" tableColumnId="7"/>
      <queryTableField id="8" name="status" tableColumnId="8"/>
      <queryTableField id="9" name="created_at"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16882306-74D4-49F9-8FE0-56C718AAEDD3}" autoFormatId="16" applyNumberFormats="0" applyBorderFormats="0" applyFontFormats="0" applyPatternFormats="0" applyAlignmentFormats="0" applyWidthHeightFormats="0">
  <queryTableRefresh nextId="16">
    <queryTableFields count="11">
      <queryTableField id="1" name="id" tableColumnId="1"/>
      <queryTableField id="2" name="booking_id" tableColumnId="2"/>
      <queryTableField id="3" name="car_model" tableColumnId="3"/>
      <queryTableField id="4" name="customer_email" tableColumnId="4"/>
      <queryTableField id="5" name="customer_name" tableColumnId="5"/>
      <queryTableField id="6" name="rating" tableColumnId="6"/>
      <queryTableField id="7" name="review_text" tableColumnId="7"/>
      <queryTableField id="10" name="Month" tableColumnId="10"/>
      <queryTableField id="11" name="date" tableColumnId="11"/>
      <queryTableField id="12" name="Year" tableColumnId="12"/>
      <queryTableField id="9" name="status"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30797195-7535-4998-91A2-DD1420B2D895}" autoFormatId="16" applyNumberFormats="0" applyBorderFormats="0" applyFontFormats="0" applyPatternFormats="0" applyAlignmentFormats="0" applyWidthHeightFormats="0">
  <queryTableRefresh nextId="55">
    <queryTableFields count="50">
      <queryTableField id="1" name="id" tableColumnId="1"/>
      <queryTableField id="2" name="booking_id" tableColumnId="2"/>
      <queryTableField id="3" name="customer_name" tableColumnId="3"/>
      <queryTableField id="4" name="customer_email" tableColumnId="4"/>
      <queryTableField id="5" name="customer_phone" tableColumnId="5"/>
      <queryTableField id="6" name="customer_age" tableColumnId="6"/>
      <queryTableField id="49" name="Month" tableColumnId="49"/>
      <queryTableField id="50" name="Date" tableColumnId="50"/>
      <queryTableField id="51" name="Year" tableColumnId="51"/>
      <queryTableField id="8" name="dropoff_date" tableColumnId="8"/>
      <queryTableField id="9" name="pickup_time" tableColumnId="9"/>
      <queryTableField id="10" name="dropoff_time" tableColumnId="10"/>
      <queryTableField id="11" name="pickup_location" tableColumnId="11"/>
      <queryTableField id="12" name="dropoff_location" tableColumnId="12"/>
      <queryTableField id="13" name="car_type" tableColumnId="13"/>
      <queryTableField id="14" name="car_model" tableColumnId="14"/>
      <queryTableField id="15" name="car_image" tableColumnId="15"/>
      <queryTableField id="16" name="rental_days" tableColumnId="16"/>
      <queryTableField id="17" name="daily_rate" tableColumnId="17"/>
      <queryTableField id="18" name="subtotal" tableColumnId="18"/>
      <queryTableField id="19" name="insurance_fee" tableColumnId="19"/>
      <queryTableField id="20" name="additional_fees" tableColumnId="20"/>
      <queryTableField id="21" name="total_amount" tableColumnId="21"/>
      <queryTableField id="22" name="promo_code" tableColumnId="22"/>
      <queryTableField id="23" name="discount_amount" tableColumnId="23"/>
      <queryTableField id="24" name="agent_id" tableColumnId="24"/>
      <queryTableField id="25" name="agent_commission" tableColumnId="25"/>
      <queryTableField id="26" name="status" tableColumnId="26"/>
      <queryTableField id="27" name="admin_notes" tableColumnId="27"/>
      <queryTableField id="28" name="payment_method" tableColumnId="28"/>
      <queryTableField id="29" name="payment_status" tableColumnId="29"/>
      <queryTableField id="30" name="created_at" tableColumnId="30"/>
      <queryTableField id="31" name="updated_at" tableColumnId="31"/>
      <queryTableField id="32" name="license_number" tableColumnId="32"/>
      <queryTableField id="33" name="license_expiry" tableColumnId="33"/>
      <queryTableField id="34" name="actual_return_date" tableColumnId="34"/>
      <queryTableField id="35" name="payment_proof" tableColumnId="35"/>
      <queryTableField id="36" name="invoice_number" tableColumnId="36"/>
      <queryTableField id="37" name="receipt_file" tableColumnId="37"/>
      <queryTableField id="38" name="payment_verified_by" tableColumnId="38"/>
      <queryTableField id="39" name="payment_verified_at" tableColumnId="39"/>
      <queryTableField id="40" name="payment_type" tableColumnId="40"/>
      <queryTableField id="41" name="amount_paid" tableColumnId="41"/>
      <queryTableField id="42" name="remaining_balance" tableColumnId="42"/>
      <queryTableField id="43" name="refund_amount" tableColumnId="43"/>
      <queryTableField id="44" name="actual_rental_days" tableColumnId="44"/>
      <queryTableField id="45" name="pickup_status" tableColumnId="45"/>
      <queryTableField id="46" name="pickup_confirmed_at" tableColumnId="46"/>
      <queryTableField id="47" name="return_pickup_status" tableColumnId="47"/>
      <queryTableField id="48" name="return_pickup_confirmed_at" tableColumnId="4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0EF216E8-9974-40A1-9EAD-04C590CC8F95}" autoFormatId="16" applyNumberFormats="0" applyBorderFormats="0" applyFontFormats="0" applyPatternFormats="0" applyAlignmentFormats="0" applyWidthHeightFormats="0">
  <queryTableRefresh nextId="11">
    <queryTableFields count="10">
      <queryTableField id="1" name="id" tableColumnId="1"/>
      <queryTableField id="2" name="car_id" tableColumnId="2"/>
      <queryTableField id="3" name="maintenance_type" tableColumnId="3"/>
      <queryTableField id="4" name="description" tableColumnId="4"/>
      <queryTableField id="5" name="cost" tableColumnId="5"/>
      <queryTableField id="6" name="maintenance_date" tableColumnId="6"/>
      <queryTableField id="7" name="next_service_date" tableColumnId="7"/>
      <queryTableField id="8" name="performed_by" tableColumnId="8"/>
      <queryTableField id="9" name="status" tableColumnId="9"/>
      <queryTableField id="10" name="created_at"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0D48029A-8C12-4A34-B735-12A317D3F32D}" autoFormatId="16" applyNumberFormats="0" applyBorderFormats="0" applyFontFormats="0" applyPatternFormats="0" applyAlignmentFormats="0" applyWidthHeightFormats="0">
  <queryTableRefresh nextId="8">
    <queryTableFields count="7">
      <queryTableField id="1" name="id" tableColumnId="1"/>
      <queryTableField id="2" name="car_model" tableColumnId="2"/>
      <queryTableField id="3" name="block_start" tableColumnId="3"/>
      <queryTableField id="4" name="block_end" tableColumnId="4"/>
      <queryTableField id="5" name="reason" tableColumnId="5"/>
      <queryTableField id="6" name="created_by" tableColumnId="6"/>
      <queryTableField id="7" name="created_a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FEA14D9-B5FA-4B06-B451-FD19E76F1328}" sourceName="Year">
  <pivotTables>
    <pivotTable tabId="1" name="PivotTable20"/>
    <pivotTable tabId="1" name="PivotTable24"/>
  </pivotTables>
  <data>
    <tabular pivotCacheId="155424394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3B06FE7-959A-43DA-8E86-50D169D57A79}" sourceName="Date">
  <pivotTables>
    <pivotTable tabId="1" name="PivotTable1"/>
    <pivotTable tabId="1" name="PivotTable16"/>
    <pivotTable tabId="1" name="PivotTable19"/>
    <pivotTable tabId="1" name="PivotTable21"/>
    <pivotTable tabId="1" name="PivotTable22"/>
    <pivotTable tabId="1" name="PivotTable23"/>
    <pivotTable tabId="1" name="PivotTable6"/>
    <pivotTable tabId="1" name="PivotTable7"/>
  </pivotTables>
  <data>
    <tabular pivotCacheId="683681688">
      <items count="19">
        <i x="14" s="1"/>
        <i x="12" s="1"/>
        <i x="16" s="1"/>
        <i x="17" s="1"/>
        <i x="15" s="1"/>
        <i x="18" s="1"/>
        <i x="1" s="1"/>
        <i x="3" s="1"/>
        <i x="0" s="1"/>
        <i x="4" s="1"/>
        <i x="2" s="1"/>
        <i x="6" s="1"/>
        <i x="8" s="1"/>
        <i x="5" s="1"/>
        <i x="10" s="1"/>
        <i x="11" s="1"/>
        <i x="7" s="1"/>
        <i x="13"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F1495D2-5781-4FA1-AC57-5B1BAED006C0}" sourceName="Month">
  <pivotTables>
    <pivotTable tabId="16" name="PivotTable30"/>
    <pivotTable tabId="1" name="PivotTable7"/>
    <pivotTable tabId="1" name="PivotTable6"/>
    <pivotTable tabId="1" name="PivotTable23"/>
    <pivotTable tabId="1" name="PivotTable22"/>
    <pivotTable tabId="1" name="PivotTable21"/>
    <pivotTable tabId="1" name="PivotTable19"/>
    <pivotTable tabId="1" name="PivotTable16"/>
    <pivotTable tabId="1" name="PivotTable1"/>
    <pivotTable tabId="16" name="PivotTable33"/>
    <pivotTable tabId="16" name="PivotTable35"/>
  </pivotTables>
  <data>
    <tabular pivotCacheId="683681688">
      <items count="7">
        <i x="0" s="1"/>
        <i x="1" s="1"/>
        <i x="4" s="1"/>
        <i x="5" s="1"/>
        <i x="6"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6803D91C-BEE7-4352-ADBD-6DBCE5DA7206}" sourceName="Year">
  <pivotTables>
    <pivotTable tabId="16" name="PivotTable30"/>
    <pivotTable tabId="1" name="PivotTable7"/>
    <pivotTable tabId="1" name="PivotTable6"/>
    <pivotTable tabId="1" name="PivotTable23"/>
    <pivotTable tabId="1" name="PivotTable22"/>
    <pivotTable tabId="1" name="PivotTable21"/>
    <pivotTable tabId="1" name="PivotTable19"/>
    <pivotTable tabId="1" name="PivotTable16"/>
    <pivotTable tabId="1" name="PivotTable1"/>
    <pivotTable tabId="16" name="PivotTable33"/>
    <pivotTable tabId="16" name="PivotTable35"/>
  </pivotTables>
  <data>
    <tabular pivotCacheId="6836816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31A6C12-4532-4B70-889C-1128B0A230F9}" cache="Slicer_Year1" caption="Year" rowHeight="241300"/>
  <slicer name="Date" xr10:uid="{2EAC92FA-7A23-4CE3-BA59-663FE128F406}" cache="Slicer_Date" caption="Date" columnCount="3" rowHeight="274320"/>
  <slicer name="Month" xr10:uid="{57487470-7567-46E1-9FC8-4DAF2206E7CC}" cache="Slicer_Month1" caption="Month" rowHeight="241300"/>
  <slicer name="Year" xr10:uid="{BD7DD7A8-570C-40D6-997F-106ED7938FE4}" cache="Slicer_Year2"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F2BE89D1-FE69-4EB8-81D2-E4E5AB356007}" cache="Slicer_Date" caption="Date" columnCount="3" style="SlicerStyleLight2" rowHeight="274320"/>
  <slicer name="Month 1" xr10:uid="{9C8CB72D-DB1F-4395-8F4D-A2996A482CF9}" cache="Slicer_Month1" caption="Month" style="SlicerStyleLight2" rowHeight="241300"/>
  <slicer name="Year 1" xr10:uid="{BA712A0B-5E8F-4D27-A5B9-9BAC1DB95781}" cache="Slicer_Year2" caption="Year" columnCount="2"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6CFBE9A-B7B5-4C77-9B5D-FF2288235AEA}" cache="Slicer_Month1" caption="Month" columnCount="3" style="SlicerStyleLight5" rowHeight="241300"/>
  <slicer name="Year 3" xr10:uid="{90E6A148-4E29-442F-A861-F176237E9A8E}" cache="Slicer_Year2" caption="Year" columnCount="2"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E1BE98-A9A1-41F3-96E2-678E4D4ADA13}" name="travel_agents" displayName="travel_agents" ref="A1:L7" tableType="queryTable" totalsRowShown="0">
  <autoFilter ref="A1:L7" xr:uid="{D6E1BE98-A9A1-41F3-96E2-678E4D4ADA13}"/>
  <tableColumns count="12">
    <tableColumn id="1" xr3:uid="{E742F17C-ECE3-474F-A45D-4871F2F2277D}" uniqueName="1" name="id" queryTableFieldId="1"/>
    <tableColumn id="2" xr3:uid="{963D300E-3468-4C34-B1AE-F227204F7384}" uniqueName="2" name="agent_id" queryTableFieldId="2" dataDxfId="397"/>
    <tableColumn id="3" xr3:uid="{FC0721EB-6ECD-400A-B992-D5A019A7D868}" uniqueName="3" name="agent_name" queryTableFieldId="3" dataDxfId="396"/>
    <tableColumn id="4" xr3:uid="{67956707-758A-4983-A87E-61F74BF728C0}" uniqueName="4" name="email" queryTableFieldId="4" dataDxfId="395"/>
    <tableColumn id="5" xr3:uid="{18E025D6-A7CA-44BE-8AD0-72E37D4C3F37}" uniqueName="5" name="phone" queryTableFieldId="5" dataDxfId="394"/>
    <tableColumn id="6" xr3:uid="{FBBEC4FC-17EC-4098-B196-3F4FD6C39B82}" uniqueName="6" name="agency_name" queryTableFieldId="6" dataDxfId="393"/>
    <tableColumn id="7" xr3:uid="{95482B57-C752-4396-A4EB-AA4D8578A080}" uniqueName="7" name="specialization" queryTableFieldId="7" dataDxfId="392"/>
    <tableColumn id="8" xr3:uid="{23DD0D36-088E-4651-8AC0-FC42A47AA60A}" uniqueName="8" name="commission_rate" queryTableFieldId="8"/>
    <tableColumn id="9" xr3:uid="{7241B596-D035-4DA8-B55A-375AA79EF06D}" uniqueName="9" name="total_bookings" queryTableFieldId="9"/>
    <tableColumn id="10" xr3:uid="{5DD5610A-6600-498B-BBCD-DD33FA3D0FA7}" uniqueName="10" name="total_commission" queryTableFieldId="10"/>
    <tableColumn id="11" xr3:uid="{2CFB36B6-3BC1-4956-BBD2-B96FC8A178D7}" uniqueName="11" name="status" queryTableFieldId="11" dataDxfId="391"/>
    <tableColumn id="12" xr3:uid="{A81EA01B-1041-4F5B-836E-1DDA2DF9E071}" uniqueName="12" name="registered_date" queryTableFieldId="12" dataDxfId="3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6CF30B-4EDF-4F35-9EEC-D13A91EF3398}" name="customers" displayName="customers" ref="A1:M11" tableType="queryTable" totalsRowShown="0">
  <autoFilter ref="A1:M11" xr:uid="{C26CF30B-4EDF-4F35-9EEC-D13A91EF3398}"/>
  <tableColumns count="13">
    <tableColumn id="1" xr3:uid="{61030BAF-A24A-49AF-9E15-75AF93513921}" uniqueName="1" name="id" queryTableFieldId="1"/>
    <tableColumn id="2" xr3:uid="{89E6290F-2018-4988-94ED-9BB9DF39B789}" uniqueName="2" name="customer_id" queryTableFieldId="2" dataDxfId="433"/>
    <tableColumn id="3" xr3:uid="{54402223-F31C-4BE6-B1A9-3A450FD19F05}" uniqueName="3" name="username" queryTableFieldId="3" dataDxfId="432"/>
    <tableColumn id="4" xr3:uid="{E8B8159E-1CD9-4CAF-B4B5-1E6BC5A2B7F4}" uniqueName="4" name="password" queryTableFieldId="4" dataDxfId="431"/>
    <tableColumn id="5" xr3:uid="{19449A5C-C138-46CD-81AB-D987A2945657}" uniqueName="5" name="full_name" queryTableFieldId="5" dataDxfId="430"/>
    <tableColumn id="6" xr3:uid="{0FAD8EDE-8178-45A5-A55D-C477902407B5}" uniqueName="6" name="email" queryTableFieldId="6" dataDxfId="429"/>
    <tableColumn id="7" xr3:uid="{BA568562-889E-4571-8B0A-DA19EBF697F8}" uniqueName="7" name="phone" queryTableFieldId="7" dataDxfId="428"/>
    <tableColumn id="8" xr3:uid="{FBEEE131-72DA-434D-9964-69302CCBDA46}" uniqueName="8" name="address" queryTableFieldId="8" dataDxfId="427"/>
    <tableColumn id="9" xr3:uid="{9781F462-2B43-442B-A974-614939C72B52}" uniqueName="9" name="profile_picture" queryTableFieldId="9" dataDxfId="426"/>
    <tableColumn id="10" xr3:uid="{5B923E4C-8BDC-45D7-8D2A-B631DACAD05C}" uniqueName="10" name="status" queryTableFieldId="10" dataDxfId="425"/>
    <tableColumn id="11" xr3:uid="{74C1F972-7E8A-4006-ADF0-C4706B9CEB82}" uniqueName="11" name="last_login" queryTableFieldId="11" dataDxfId="424"/>
    <tableColumn id="12" xr3:uid="{4AA482B3-2E54-4B9B-B8D2-28F0BCC7566C}" uniqueName="12" name="created_at" queryTableFieldId="12" dataDxfId="423"/>
    <tableColumn id="13" xr3:uid="{AC7AB7EB-0674-4305-ACD5-41E1AC62D33F}" uniqueName="13" name="updated_at" queryTableFieldId="13" dataDxfId="4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58A7CD-B16F-47D6-8CD4-A0A01EB88304}" name="cars" displayName="cars" ref="A1:Q21" tableType="queryTable" totalsRowShown="0">
  <autoFilter ref="A1:Q21" xr:uid="{0058A7CD-B16F-47D6-8CD4-A0A01EB88304}"/>
  <tableColumns count="17">
    <tableColumn id="1" xr3:uid="{564720A5-A244-4ACD-B7EB-2D63D95A21F2}" uniqueName="1" name="id" queryTableFieldId="1"/>
    <tableColumn id="2" xr3:uid="{EB2F57C9-1BDC-4908-8CBC-4697B12F0251}" uniqueName="2" name="name" queryTableFieldId="2" dataDxfId="421"/>
    <tableColumn id="3" xr3:uid="{D7DC1EA0-9604-4031-8E48-07A3EBF7793A}" uniqueName="3" name="type" queryTableFieldId="3" dataDxfId="420"/>
    <tableColumn id="4" xr3:uid="{0E4810A8-28EC-4068-A2F2-648555534A55}" uniqueName="4" name="daily_rate" queryTableFieldId="4"/>
    <tableColumn id="5" xr3:uid="{45DC25F4-8040-4CDB-B729-C4B224DDC036}" uniqueName="5" name="image" queryTableFieldId="5" dataDxfId="419"/>
    <tableColumn id="6" xr3:uid="{DC8EE675-AD48-4736-8B01-1473540BD1F5}" uniqueName="6" name="features" queryTableFieldId="6" dataDxfId="418"/>
    <tableColumn id="7" xr3:uid="{4B7418C0-1CB1-4EA7-8A39-C4071105061C}" uniqueName="7" name="fuel_type" queryTableFieldId="7" dataDxfId="417"/>
    <tableColumn id="8" xr3:uid="{EB195D98-E448-4A37-A307-63FE0B3C2092}" uniqueName="8" name="transmission" queryTableFieldId="8" dataDxfId="416"/>
    <tableColumn id="9" xr3:uid="{BAD10476-37C2-4CFD-B79F-C4D009068144}" uniqueName="9" name="seating_capacity" queryTableFieldId="9"/>
    <tableColumn id="10" xr3:uid="{187FFDA7-65FF-4AE9-B8F9-875E259610AA}" uniqueName="10" name="mileage_limit" queryTableFieldId="10"/>
    <tableColumn id="11" xr3:uid="{D761BDEE-CFD3-4F12-8896-8ECEA126CC24}" uniqueName="11" name="car_year" queryTableFieldId="11"/>
    <tableColumn id="12" xr3:uid="{558E0605-604D-4F33-B609-EFF35D1045D3}" uniqueName="12" name="license_plate" queryTableFieldId="12" dataDxfId="415"/>
    <tableColumn id="13" xr3:uid="{0939F3E4-576D-4594-B3F3-6450E571D383}" uniqueName="13" name="vin" queryTableFieldId="13" dataDxfId="414"/>
    <tableColumn id="14" xr3:uid="{6E437C24-8AFF-4CE0-AC4A-E419035BB40E}" uniqueName="14" name="color" queryTableFieldId="14" dataDxfId="413"/>
    <tableColumn id="15" xr3:uid="{F9E7E30C-09D9-4F71-BE70-0301C4621DA4}" uniqueName="15" name="status" queryTableFieldId="15" dataDxfId="412"/>
    <tableColumn id="16" xr3:uid="{38DBA04C-5906-4A99-B6CC-8B7B81D15B3C}" uniqueName="16" name="is_featured" queryTableFieldId="16"/>
    <tableColumn id="17" xr3:uid="{CF4E0CF2-FE4B-4574-9233-948AF5949EE2}" uniqueName="17" name="created_at" queryTableFieldId="17" dataDxfId="4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1E227-64A3-4A65-A21E-3FE73B2101C4}" name="car_sales" displayName="car_sales" ref="A1:I8" tableType="queryTable" totalsRowShown="0">
  <autoFilter ref="A1:I8" xr:uid="{7581E227-64A3-4A65-A21E-3FE73B2101C4}"/>
  <tableColumns count="9">
    <tableColumn id="1" xr3:uid="{64D27105-0C30-4134-9C3E-D6DA59A80AAC}" uniqueName="1" name="id" queryTableFieldId="1"/>
    <tableColumn id="2" xr3:uid="{82909729-D1CB-40F9-880A-B9D6EBDEF1CC}" uniqueName="2" name="car_model" queryTableFieldId="2" dataDxfId="438"/>
    <tableColumn id="3" xr3:uid="{FFB1A9CD-95FD-4E1E-840B-514743D32AB4}" uniqueName="3" name="original_price" queryTableFieldId="3"/>
    <tableColumn id="4" xr3:uid="{65E8B842-8350-4625-96D3-5971F96364E0}" uniqueName="4" name="sale_price" queryTableFieldId="4"/>
    <tableColumn id="5" xr3:uid="{9353F7A8-FDFB-4A8C-9E04-345E6B1BECF7}" uniqueName="5" name="discount_percentage" queryTableFieldId="5"/>
    <tableColumn id="6" xr3:uid="{F2699DB1-3C50-4B6B-BC33-E3C5E17B01E6}" uniqueName="6" name="sale_start" queryTableFieldId="6" dataDxfId="437"/>
    <tableColumn id="7" xr3:uid="{669A20C6-3E0B-4B34-AB84-634D2F319B6A}" uniqueName="7" name="sale_end" queryTableFieldId="7" dataDxfId="436"/>
    <tableColumn id="8" xr3:uid="{7901831E-7629-45FE-A38A-93530EB572DA}" uniqueName="8" name="status" queryTableFieldId="8" dataDxfId="435"/>
    <tableColumn id="9" xr3:uid="{CAFBEE4E-9339-4F11-88E1-C173CEB984F0}" uniqueName="9" name="created_at" queryTableFieldId="9" dataDxfId="43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BE2EB0-A5EC-49F1-8F27-CC01E3CB36C0}" name="car_reviews" displayName="car_reviews" ref="A1:K16" tableType="queryTable" totalsRowShown="0">
  <autoFilter ref="A1:K16" xr:uid="{89BE2EB0-A5EC-49F1-8F27-CC01E3CB36C0}"/>
  <tableColumns count="11">
    <tableColumn id="1" xr3:uid="{A393D0C1-71B3-45AA-A247-E94C238D7C2B}" uniqueName="1" name="id" queryTableFieldId="1"/>
    <tableColumn id="2" xr3:uid="{952E3B86-E839-4859-B6C3-33DA4587E13A}" uniqueName="2" name="booking_id" queryTableFieldId="2" dataDxfId="410"/>
    <tableColumn id="3" xr3:uid="{BACF104C-264D-4528-8EF8-16320445FE39}" uniqueName="3" name="car_model" queryTableFieldId="3" dataDxfId="409"/>
    <tableColumn id="4" xr3:uid="{A59F907B-75E9-4DCC-84F0-F069CE7D2E5B}" uniqueName="4" name="customer_email" queryTableFieldId="4" dataDxfId="408"/>
    <tableColumn id="5" xr3:uid="{411560E1-8798-4181-B66D-C9D96576EB6E}" uniqueName="5" name="customer_name" queryTableFieldId="5" dataDxfId="407"/>
    <tableColumn id="6" xr3:uid="{E7BF0D18-D460-488C-B609-A8A44753CB8E}" uniqueName="6" name="rating" queryTableFieldId="6"/>
    <tableColumn id="7" xr3:uid="{4997431A-2363-4C57-83CA-B6A29C02C800}" uniqueName="7" name="review_text" queryTableFieldId="7" dataDxfId="406"/>
    <tableColumn id="10" xr3:uid="{5E59BABA-A8BE-4220-9F8B-42DFFF368977}" uniqueName="10" name="Month" queryTableFieldId="10"/>
    <tableColumn id="11" xr3:uid="{98F8A0D6-CA82-4C17-88A6-3C041A1A7621}" uniqueName="11" name="date" queryTableFieldId="11"/>
    <tableColumn id="12" xr3:uid="{C4768975-7F4C-4F7F-856B-715DE5E75DB9}" uniqueName="12" name="Year" queryTableFieldId="12"/>
    <tableColumn id="9" xr3:uid="{A1E8749E-A3C2-463A-ADD1-ADD116FD3104}" uniqueName="9" name="status" queryTableFieldId="9" dataDxfId="40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BA1079-69EA-4A38-B83D-A0F9CCF90890}" name="car_rentals" displayName="car_rentals" ref="A1:AX64" tableType="queryTable" totalsRowShown="0">
  <autoFilter ref="A1:AX64" xr:uid="{EFBA1079-69EA-4A38-B83D-A0F9CCF90890}"/>
  <tableColumns count="50">
    <tableColumn id="1" xr3:uid="{5FCB1E41-6158-425F-963E-B061268FF900}" uniqueName="1" name="id" queryTableFieldId="1"/>
    <tableColumn id="2" xr3:uid="{D49FCFB1-5F36-4BFA-8855-101B4EB6B7BD}" uniqueName="2" name="booking_id" queryTableFieldId="2" dataDxfId="383"/>
    <tableColumn id="3" xr3:uid="{2C56FAC8-8A6F-4046-B98E-60CBBBCFC82D}" uniqueName="3" name="customer_name" queryTableFieldId="3" dataDxfId="382"/>
    <tableColumn id="4" xr3:uid="{5A497C98-5D08-4E8A-AF9F-EBEC204F9120}" uniqueName="4" name="customer_email" queryTableFieldId="4" dataDxfId="381"/>
    <tableColumn id="5" xr3:uid="{A1D246EF-1B23-4375-B1AB-361784D8F301}" uniqueName="5" name="customer_phone" queryTableFieldId="5" dataDxfId="380"/>
    <tableColumn id="6" xr3:uid="{61B9E0BA-4C49-4F55-94A3-0AE964A16D08}" uniqueName="6" name="customer_age" queryTableFieldId="6"/>
    <tableColumn id="49" xr3:uid="{387843F1-757D-4428-A53E-032F81549184}" uniqueName="49" name="Month" queryTableFieldId="49"/>
    <tableColumn id="50" xr3:uid="{02CC509A-DAA9-4F4D-8D88-A34A42F3D338}" uniqueName="50" name="Date" queryTableFieldId="50"/>
    <tableColumn id="51" xr3:uid="{9D77F80D-3D15-41C6-BBD1-C4AA963E1234}" uniqueName="51" name="Year" queryTableFieldId="51"/>
    <tableColumn id="8" xr3:uid="{EAABF000-BAAE-4C98-9675-61DC14E357CA}" uniqueName="8" name="dropoff_date" queryTableFieldId="8" dataDxfId="379"/>
    <tableColumn id="9" xr3:uid="{D265284B-B331-42B2-AFA0-F28315DFA1CB}" uniqueName="9" name="pickup_time" queryTableFieldId="9" dataDxfId="378"/>
    <tableColumn id="10" xr3:uid="{05350805-668F-40CE-9AFA-2DECC0D12A40}" uniqueName="10" name="dropoff_time" queryTableFieldId="10" dataDxfId="377"/>
    <tableColumn id="11" xr3:uid="{8B6CAD8F-379C-47B3-B3DC-9D088500E718}" uniqueName="11" name="pickup_location" queryTableFieldId="11" dataDxfId="376"/>
    <tableColumn id="12" xr3:uid="{21ABE2F8-9281-4A60-BAE7-2621ACF88F5C}" uniqueName="12" name="dropoff_location" queryTableFieldId="12" dataDxfId="375"/>
    <tableColumn id="13" xr3:uid="{3509DC7C-6291-42F3-BFC7-37DBC3318484}" uniqueName="13" name="car_type" queryTableFieldId="13" dataDxfId="374"/>
    <tableColumn id="14" xr3:uid="{BD36C491-2EC2-462A-B42E-C7015649F7C1}" uniqueName="14" name="car_model" queryTableFieldId="14" dataDxfId="373"/>
    <tableColumn id="15" xr3:uid="{6652DE63-D537-45F9-8804-29B908CCC73E}" uniqueName="15" name="car_image" queryTableFieldId="15" dataDxfId="372"/>
    <tableColumn id="16" xr3:uid="{000329AD-DC36-4ABC-B153-032BCCCC3714}" uniqueName="16" name="rental_days" queryTableFieldId="16"/>
    <tableColumn id="17" xr3:uid="{AE73177E-42A8-446C-B87F-E82AD7EE83B3}" uniqueName="17" name="daily_rate" queryTableFieldId="17"/>
    <tableColumn id="18" xr3:uid="{2B07E200-27CE-40B0-BD88-4987AED42A9B}" uniqueName="18" name="subtotal" queryTableFieldId="18"/>
    <tableColumn id="19" xr3:uid="{BF8444A2-BE7E-4506-AF44-47C87BF8B176}" uniqueName="19" name="insurance_fee" queryTableFieldId="19"/>
    <tableColumn id="20" xr3:uid="{91FA885A-4CDE-413B-A8AD-19697FF27F2F}" uniqueName="20" name="additional_fees" queryTableFieldId="20"/>
    <tableColumn id="21" xr3:uid="{15CA6FC4-386A-4BEE-9A32-9C9D3FDDBF14}" uniqueName="21" name="total_amount" queryTableFieldId="21"/>
    <tableColumn id="22" xr3:uid="{67292E91-60B2-4E53-8B52-35B54E45F927}" uniqueName="22" name="promo_code" queryTableFieldId="22" dataDxfId="371"/>
    <tableColumn id="23" xr3:uid="{1CB1A59D-488A-4012-82CB-56DB2DFE635E}" uniqueName="23" name="discount_amount" queryTableFieldId="23"/>
    <tableColumn id="24" xr3:uid="{7FC3DEA5-638E-4FDD-8C2A-D210977C1ED8}" uniqueName="24" name="agent_id" queryTableFieldId="24" dataDxfId="370"/>
    <tableColumn id="25" xr3:uid="{F8390D25-B631-466E-8ED6-C313E8367413}" uniqueName="25" name="agent_commission" queryTableFieldId="25"/>
    <tableColumn id="26" xr3:uid="{6A38D686-BD06-4CC1-A21C-127575BD71F8}" uniqueName="26" name="status" queryTableFieldId="26" dataDxfId="369"/>
    <tableColumn id="27" xr3:uid="{3C094E9B-CD66-4A8D-9327-6B986D046803}" uniqueName="27" name="admin_notes" queryTableFieldId="27" dataDxfId="368"/>
    <tableColumn id="28" xr3:uid="{80C0EAB2-EA01-4A49-B702-070BB19FD336}" uniqueName="28" name="payment_method" queryTableFieldId="28" dataDxfId="367"/>
    <tableColumn id="29" xr3:uid="{D694C1CE-76D4-4996-AE09-3CD060D10604}" uniqueName="29" name="payment_status" queryTableFieldId="29" dataDxfId="366"/>
    <tableColumn id="30" xr3:uid="{F196F382-CCDC-4A15-8AEA-7280D3DE56DE}" uniqueName="30" name="created_at" queryTableFieldId="30" dataDxfId="365"/>
    <tableColumn id="31" xr3:uid="{1D73042B-9CA0-4F6B-A459-9F4F0E2F52D9}" uniqueName="31" name="updated_at" queryTableFieldId="31" dataDxfId="364"/>
    <tableColumn id="32" xr3:uid="{62DA8A55-38DD-4E0D-9812-4C8A2B0B7DB9}" uniqueName="32" name="license_number" queryTableFieldId="32" dataDxfId="363"/>
    <tableColumn id="33" xr3:uid="{AA76996F-F3C6-4F10-9C2C-86A618A04A8D}" uniqueName="33" name="license_expiry" queryTableFieldId="33" dataDxfId="362"/>
    <tableColumn id="34" xr3:uid="{A10774C2-6265-43F4-B466-761B3D095081}" uniqueName="34" name="actual_return_date" queryTableFieldId="34" dataDxfId="361"/>
    <tableColumn id="35" xr3:uid="{DC79ABA4-389B-46FA-B759-28D310040690}" uniqueName="35" name="payment_proof" queryTableFieldId="35" dataDxfId="360"/>
    <tableColumn id="36" xr3:uid="{92BE0B56-81DC-4F5C-A6EB-CA88A92E9817}" uniqueName="36" name="invoice_number" queryTableFieldId="36" dataDxfId="359"/>
    <tableColumn id="37" xr3:uid="{EA37FDC9-FEE3-4BA1-91D0-511152DB9907}" uniqueName="37" name="receipt_file" queryTableFieldId="37" dataDxfId="358"/>
    <tableColumn id="38" xr3:uid="{66D91DDE-5277-4F00-88BA-8F1C6691AA9D}" uniqueName="38" name="payment_verified_by" queryTableFieldId="38" dataDxfId="357"/>
    <tableColumn id="39" xr3:uid="{2806583B-8FAA-4FBC-9099-9E0D772B4145}" uniqueName="39" name="payment_verified_at" queryTableFieldId="39" dataDxfId="356"/>
    <tableColumn id="40" xr3:uid="{A138E48C-F4FF-4B76-93C8-19FE26737A86}" uniqueName="40" name="payment_type" queryTableFieldId="40" dataDxfId="355"/>
    <tableColumn id="41" xr3:uid="{A4E6D676-4E7B-41EB-9D16-03EC06F3E2AB}" uniqueName="41" name="amount_paid" queryTableFieldId="41"/>
    <tableColumn id="42" xr3:uid="{B9B7507D-6069-4DC1-B361-3CC6628BCE4B}" uniqueName="42" name="remaining_balance" queryTableFieldId="42"/>
    <tableColumn id="43" xr3:uid="{614F7908-F808-4569-8082-B027F4C80EE6}" uniqueName="43" name="refund_amount" queryTableFieldId="43"/>
    <tableColumn id="44" xr3:uid="{D745B6DE-D720-45A8-8DB7-BBDEB6C30B2D}" uniqueName="44" name="actual_rental_days" queryTableFieldId="44"/>
    <tableColumn id="45" xr3:uid="{9475410A-427A-477D-A296-5EB5E0B06572}" uniqueName="45" name="pickup_status" queryTableFieldId="45" dataDxfId="354"/>
    <tableColumn id="46" xr3:uid="{EF7588A1-021F-4C39-B8B5-8887E63F416C}" uniqueName="46" name="pickup_confirmed_at" queryTableFieldId="46" dataDxfId="353"/>
    <tableColumn id="47" xr3:uid="{018B0EB5-C1EF-4DE7-A050-CF1AB580D0D2}" uniqueName="47" name="return_pickup_status" queryTableFieldId="47" dataDxfId="352"/>
    <tableColumn id="48" xr3:uid="{9DA7EB02-6711-4F7D-9B12-D1D055BBDD33}" uniqueName="48" name="return_pickup_confirmed_at" queryTableFieldId="48" dataDxfId="35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B84E94-E497-4480-B355-7F763C3EEFCA}" name="car_maintenance" displayName="car_maintenance" ref="A1:J3" tableType="queryTable" totalsRowShown="0">
  <autoFilter ref="A1:J3" xr:uid="{DDB84E94-E497-4480-B355-7F763C3EEFCA}"/>
  <tableColumns count="10">
    <tableColumn id="1" xr3:uid="{B24C7580-DA22-4731-9F7D-D8F215FBDB6E}" uniqueName="1" name="id" queryTableFieldId="1"/>
    <tableColumn id="2" xr3:uid="{77A7B204-CB2B-436F-9171-ECBA7C86C021}" uniqueName="2" name="car_id" queryTableFieldId="2"/>
    <tableColumn id="3" xr3:uid="{D373B3F5-E0FC-4B2B-B8EF-B78BFDF3C817}" uniqueName="3" name="maintenance_type" queryTableFieldId="3" dataDxfId="404"/>
    <tableColumn id="4" xr3:uid="{A6DA64AA-9F72-4792-A2C2-EE2388D6ABB0}" uniqueName="4" name="description" queryTableFieldId="4" dataDxfId="403"/>
    <tableColumn id="5" xr3:uid="{1F69E246-55AC-4F1B-8AC4-90CC63D4C4FA}" uniqueName="5" name="cost" queryTableFieldId="5"/>
    <tableColumn id="6" xr3:uid="{BDA87560-52F2-4930-BEC7-27104A4EFE6C}" uniqueName="6" name="maintenance_date" queryTableFieldId="6" dataDxfId="402"/>
    <tableColumn id="7" xr3:uid="{B0404051-D3E0-4FD5-9127-81DA906D3F67}" uniqueName="7" name="next_service_date" queryTableFieldId="7" dataDxfId="401"/>
    <tableColumn id="8" xr3:uid="{DD431CBF-64F8-408B-93E6-1D90B189D402}" uniqueName="8" name="performed_by" queryTableFieldId="8" dataDxfId="400"/>
    <tableColumn id="9" xr3:uid="{4452EE52-FA2C-4AF9-9156-BAD9E630ED66}" uniqueName="9" name="status" queryTableFieldId="9" dataDxfId="399"/>
    <tableColumn id="10" xr3:uid="{75C3B846-0033-4943-B765-E083EF8F4E66}" uniqueName="10" name="created_at" queryTableFieldId="10" dataDxfId="39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CB7C25-DB64-42F0-97C1-35FDDF2E4C77}" name="car_blocked_dates" displayName="car_blocked_dates" ref="A1:G3" tableType="queryTable" totalsRowShown="0">
  <autoFilter ref="A1:G3" xr:uid="{E7CB7C25-DB64-42F0-97C1-35FDDF2E4C77}"/>
  <tableColumns count="7">
    <tableColumn id="1" xr3:uid="{376289AB-3FC9-4836-A401-A622D9600400}" uniqueName="1" name="id" queryTableFieldId="1"/>
    <tableColumn id="2" xr3:uid="{83A5841A-DB5B-4A49-90CD-A46DB998B8C5}" uniqueName="2" name="car_model" queryTableFieldId="2" dataDxfId="389"/>
    <tableColumn id="3" xr3:uid="{230FDBC8-DCF3-43A9-BA64-C3AE8D0AC7E0}" uniqueName="3" name="block_start" queryTableFieldId="3" dataDxfId="388"/>
    <tableColumn id="4" xr3:uid="{1EAE2A89-D116-4609-9ECA-88A75EA9A9A7}" uniqueName="4" name="block_end" queryTableFieldId="4" dataDxfId="387"/>
    <tableColumn id="5" xr3:uid="{A5E04A27-1346-47C8-8EE8-2B78F3DA164F}" uniqueName="5" name="reason" queryTableFieldId="5" dataDxfId="386"/>
    <tableColumn id="6" xr3:uid="{A7E31889-A6F5-4343-A053-FCF159B40498}" uniqueName="6" name="created_by" queryTableFieldId="6" dataDxfId="385"/>
    <tableColumn id="7" xr3:uid="{95E4D23E-8A5E-4F6A-9762-E7F0A4A027BE}" uniqueName="7" name="created_at" queryTableFieldId="7" dataDxfId="3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3.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DFE8-BAD5-46D6-9162-E4EAFCA919B8}">
  <dimension ref="A1:L7"/>
  <sheetViews>
    <sheetView topLeftCell="A25" workbookViewId="0"/>
  </sheetViews>
  <sheetFormatPr defaultRowHeight="15" x14ac:dyDescent="0.25"/>
  <cols>
    <col min="1" max="1" width="5" bestFit="1" customWidth="1"/>
    <col min="2" max="2" width="11" bestFit="1" customWidth="1"/>
    <col min="3" max="3" width="14.28515625" bestFit="1" customWidth="1"/>
    <col min="4" max="4" width="23.140625" bestFit="1" customWidth="1"/>
    <col min="5" max="5" width="14.140625" bestFit="1" customWidth="1"/>
    <col min="6" max="6" width="23.42578125" bestFit="1" customWidth="1"/>
    <col min="7" max="7" width="15.5703125" bestFit="1" customWidth="1"/>
    <col min="8" max="8" width="18.5703125" bestFit="1" customWidth="1"/>
    <col min="9" max="9" width="16.5703125" bestFit="1" customWidth="1"/>
    <col min="10" max="10" width="19.140625" bestFit="1" customWidth="1"/>
    <col min="11" max="11" width="8.5703125" bestFit="1" customWidth="1"/>
    <col min="12" max="12" width="17.5703125" bestFit="1" customWidth="1"/>
  </cols>
  <sheetData>
    <row r="1" spans="1:12" x14ac:dyDescent="0.25">
      <c r="A1" t="s">
        <v>0</v>
      </c>
      <c r="B1" t="s">
        <v>94</v>
      </c>
      <c r="C1" t="s">
        <v>95</v>
      </c>
      <c r="D1" t="s">
        <v>15</v>
      </c>
      <c r="E1" t="s">
        <v>16</v>
      </c>
      <c r="F1" t="s">
        <v>96</v>
      </c>
      <c r="G1" t="s">
        <v>97</v>
      </c>
      <c r="H1" t="s">
        <v>98</v>
      </c>
      <c r="I1" t="s">
        <v>99</v>
      </c>
      <c r="J1" t="s">
        <v>100</v>
      </c>
      <c r="K1" t="s">
        <v>19</v>
      </c>
      <c r="L1" t="s">
        <v>101</v>
      </c>
    </row>
    <row r="2" spans="1:12" x14ac:dyDescent="0.25">
      <c r="A2">
        <v>1</v>
      </c>
      <c r="B2" s="1" t="s">
        <v>102</v>
      </c>
      <c r="C2" s="1" t="s">
        <v>60</v>
      </c>
      <c r="D2" s="1" t="s">
        <v>103</v>
      </c>
      <c r="E2" s="1" t="s">
        <v>104</v>
      </c>
      <c r="F2" s="1" t="s">
        <v>105</v>
      </c>
      <c r="G2" s="1" t="s">
        <v>106</v>
      </c>
      <c r="H2">
        <v>12.5</v>
      </c>
      <c r="I2">
        <v>0</v>
      </c>
      <c r="J2">
        <v>0</v>
      </c>
      <c r="K2" s="1" t="s">
        <v>30</v>
      </c>
      <c r="L2" s="3">
        <v>46020.59070601852</v>
      </c>
    </row>
    <row r="3" spans="1:12" x14ac:dyDescent="0.25">
      <c r="A3">
        <v>2</v>
      </c>
      <c r="B3" s="1" t="s">
        <v>107</v>
      </c>
      <c r="C3" s="1" t="s">
        <v>108</v>
      </c>
      <c r="D3" s="1" t="s">
        <v>109</v>
      </c>
      <c r="E3" s="1" t="s">
        <v>110</v>
      </c>
      <c r="F3" s="1" t="s">
        <v>111</v>
      </c>
      <c r="G3" s="1" t="s">
        <v>112</v>
      </c>
      <c r="H3">
        <v>10</v>
      </c>
      <c r="I3">
        <v>0</v>
      </c>
      <c r="J3">
        <v>0</v>
      </c>
      <c r="K3" s="1" t="s">
        <v>30</v>
      </c>
      <c r="L3" s="3">
        <v>46020.59070601852</v>
      </c>
    </row>
    <row r="4" spans="1:12" x14ac:dyDescent="0.25">
      <c r="A4">
        <v>3</v>
      </c>
      <c r="B4" s="1" t="s">
        <v>113</v>
      </c>
      <c r="C4" s="1" t="s">
        <v>114</v>
      </c>
      <c r="D4" s="1" t="s">
        <v>115</v>
      </c>
      <c r="E4" s="1" t="s">
        <v>116</v>
      </c>
      <c r="F4" s="1" t="s">
        <v>117</v>
      </c>
      <c r="G4" s="1" t="s">
        <v>118</v>
      </c>
      <c r="H4">
        <v>15</v>
      </c>
      <c r="I4">
        <v>0</v>
      </c>
      <c r="J4">
        <v>0</v>
      </c>
      <c r="K4" s="1" t="s">
        <v>30</v>
      </c>
      <c r="L4" s="3">
        <v>46020.59070601852</v>
      </c>
    </row>
    <row r="5" spans="1:12" x14ac:dyDescent="0.25">
      <c r="A5">
        <v>4</v>
      </c>
      <c r="B5" s="1" t="s">
        <v>119</v>
      </c>
      <c r="C5" s="1" t="s">
        <v>120</v>
      </c>
      <c r="D5" s="1" t="s">
        <v>121</v>
      </c>
      <c r="E5" s="1" t="s">
        <v>27</v>
      </c>
      <c r="F5" s="1" t="s">
        <v>122</v>
      </c>
      <c r="G5" s="1" t="s">
        <v>106</v>
      </c>
      <c r="H5">
        <v>5</v>
      </c>
      <c r="I5">
        <v>0</v>
      </c>
      <c r="J5">
        <v>0</v>
      </c>
      <c r="K5" s="1" t="s">
        <v>30</v>
      </c>
      <c r="L5" s="3">
        <v>46025.469155092593</v>
      </c>
    </row>
    <row r="6" spans="1:12" x14ac:dyDescent="0.25">
      <c r="A6">
        <v>5</v>
      </c>
      <c r="B6" s="1" t="s">
        <v>123</v>
      </c>
      <c r="C6" s="1" t="s">
        <v>124</v>
      </c>
      <c r="D6" s="1" t="s">
        <v>125</v>
      </c>
      <c r="E6" s="1" t="s">
        <v>126</v>
      </c>
      <c r="F6" s="1" t="s">
        <v>127</v>
      </c>
      <c r="G6" s="1" t="s">
        <v>106</v>
      </c>
      <c r="H6">
        <v>20</v>
      </c>
      <c r="I6">
        <v>3</v>
      </c>
      <c r="J6">
        <v>0</v>
      </c>
      <c r="K6" s="1" t="s">
        <v>30</v>
      </c>
      <c r="L6" s="3">
        <v>46028.541226851848</v>
      </c>
    </row>
    <row r="7" spans="1:12" x14ac:dyDescent="0.25">
      <c r="A7">
        <v>6</v>
      </c>
      <c r="B7" s="1" t="s">
        <v>128</v>
      </c>
      <c r="C7" s="1" t="s">
        <v>129</v>
      </c>
      <c r="D7" s="1" t="s">
        <v>130</v>
      </c>
      <c r="E7" s="1" t="s">
        <v>131</v>
      </c>
      <c r="F7" s="1" t="s">
        <v>132</v>
      </c>
      <c r="G7" s="1" t="s">
        <v>106</v>
      </c>
      <c r="H7">
        <v>10</v>
      </c>
      <c r="I7">
        <v>1</v>
      </c>
      <c r="J7">
        <v>0</v>
      </c>
      <c r="K7" s="1" t="s">
        <v>30</v>
      </c>
      <c r="L7" s="3">
        <v>46028.580983796295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020BD-5FCD-489F-934A-9A597184BA3C}">
  <dimension ref="A1:M11"/>
  <sheetViews>
    <sheetView workbookViewId="0"/>
  </sheetViews>
  <sheetFormatPr defaultRowHeight="15" x14ac:dyDescent="0.25"/>
  <cols>
    <col min="1" max="1" width="5" bestFit="1" customWidth="1"/>
    <col min="2" max="2" width="14.28515625" bestFit="1" customWidth="1"/>
    <col min="3" max="3" width="18.42578125" bestFit="1" customWidth="1"/>
    <col min="4" max="4" width="69.85546875" bestFit="1" customWidth="1"/>
    <col min="5" max="5" width="23.28515625" bestFit="1" customWidth="1"/>
    <col min="6" max="6" width="24.42578125" bestFit="1" customWidth="1"/>
    <col min="7" max="7" width="12" bestFit="1" customWidth="1"/>
    <col min="8" max="8" width="23.140625" bestFit="1" customWidth="1"/>
    <col min="9" max="9" width="48.140625" bestFit="1" customWidth="1"/>
    <col min="10" max="10" width="8.5703125" bestFit="1" customWidth="1"/>
    <col min="11" max="13" width="14.85546875" bestFit="1" customWidth="1"/>
  </cols>
  <sheetData>
    <row r="1" spans="1:13" x14ac:dyDescent="0.25">
      <c r="A1" t="s">
        <v>0</v>
      </c>
      <c r="B1" t="s">
        <v>11</v>
      </c>
      <c r="C1" t="s">
        <v>12</v>
      </c>
      <c r="D1" t="s">
        <v>13</v>
      </c>
      <c r="E1" t="s">
        <v>14</v>
      </c>
      <c r="F1" t="s">
        <v>15</v>
      </c>
      <c r="G1" t="s">
        <v>16</v>
      </c>
      <c r="H1" t="s">
        <v>17</v>
      </c>
      <c r="I1" t="s">
        <v>18</v>
      </c>
      <c r="J1" t="s">
        <v>19</v>
      </c>
      <c r="K1" t="s">
        <v>20</v>
      </c>
      <c r="L1" t="s">
        <v>6</v>
      </c>
      <c r="M1" t="s">
        <v>21</v>
      </c>
    </row>
    <row r="2" spans="1:13" x14ac:dyDescent="0.25">
      <c r="A2">
        <v>1</v>
      </c>
      <c r="B2" s="1" t="s">
        <v>22</v>
      </c>
      <c r="C2" s="1" t="s">
        <v>23</v>
      </c>
      <c r="D2" s="1" t="s">
        <v>24</v>
      </c>
      <c r="E2" s="1" t="s">
        <v>25</v>
      </c>
      <c r="F2" s="1" t="s">
        <v>26</v>
      </c>
      <c r="G2" s="1" t="s">
        <v>27</v>
      </c>
      <c r="H2" s="1" t="s">
        <v>28</v>
      </c>
      <c r="I2" s="1" t="s">
        <v>29</v>
      </c>
      <c r="J2" s="1" t="s">
        <v>30</v>
      </c>
      <c r="K2" s="3">
        <v>46070.644756944443</v>
      </c>
      <c r="L2" s="3">
        <v>46062.522164351853</v>
      </c>
      <c r="M2" s="3">
        <v>46070.644756944443</v>
      </c>
    </row>
    <row r="3" spans="1:13" x14ac:dyDescent="0.25">
      <c r="A3">
        <v>2</v>
      </c>
      <c r="B3" s="1" t="s">
        <v>31</v>
      </c>
      <c r="C3" s="1" t="s">
        <v>32</v>
      </c>
      <c r="D3" s="1" t="s">
        <v>33</v>
      </c>
      <c r="E3" s="1" t="s">
        <v>34</v>
      </c>
      <c r="F3" s="1" t="s">
        <v>35</v>
      </c>
      <c r="G3" s="1" t="s">
        <v>36</v>
      </c>
      <c r="H3" s="1"/>
      <c r="I3" s="1"/>
      <c r="J3" s="1" t="s">
        <v>30</v>
      </c>
      <c r="K3" s="3">
        <v>46070.615636574075</v>
      </c>
      <c r="L3" s="3">
        <v>46070.608414351853</v>
      </c>
      <c r="M3" s="3">
        <v>46070.615636574075</v>
      </c>
    </row>
    <row r="4" spans="1:13" x14ac:dyDescent="0.25">
      <c r="A4">
        <v>18</v>
      </c>
      <c r="B4" s="1" t="s">
        <v>37</v>
      </c>
      <c r="C4" s="1" t="s">
        <v>38</v>
      </c>
      <c r="D4" s="1" t="s">
        <v>39</v>
      </c>
      <c r="E4" s="1" t="s">
        <v>25</v>
      </c>
      <c r="F4" s="1" t="s">
        <v>40</v>
      </c>
      <c r="G4" s="1" t="s">
        <v>41</v>
      </c>
      <c r="H4" s="1"/>
      <c r="I4" s="1"/>
      <c r="J4" s="1" t="s">
        <v>30</v>
      </c>
      <c r="K4" s="3">
        <v>46070.639467592591</v>
      </c>
      <c r="L4" s="3">
        <v>46070.63082175926</v>
      </c>
      <c r="M4" s="3">
        <v>46070.639467592591</v>
      </c>
    </row>
    <row r="5" spans="1:13" x14ac:dyDescent="0.25">
      <c r="A5">
        <v>19</v>
      </c>
      <c r="B5" s="1" t="s">
        <v>42</v>
      </c>
      <c r="C5" s="1" t="s">
        <v>43</v>
      </c>
      <c r="D5" s="1" t="s">
        <v>44</v>
      </c>
      <c r="E5" s="1" t="s">
        <v>43</v>
      </c>
      <c r="F5" s="1" t="s">
        <v>45</v>
      </c>
      <c r="G5" s="1" t="s">
        <v>27</v>
      </c>
      <c r="H5" s="1"/>
      <c r="I5" s="1"/>
      <c r="J5" s="1" t="s">
        <v>30</v>
      </c>
      <c r="K5" s="3">
        <v>46070.660231481481</v>
      </c>
      <c r="L5" s="3">
        <v>46070.660046296296</v>
      </c>
      <c r="M5" s="3">
        <v>46070.660231481481</v>
      </c>
    </row>
    <row r="6" spans="1:13" x14ac:dyDescent="0.25">
      <c r="A6">
        <v>20</v>
      </c>
      <c r="B6" s="1" t="s">
        <v>46</v>
      </c>
      <c r="C6" s="1" t="s">
        <v>47</v>
      </c>
      <c r="D6" s="1" t="s">
        <v>48</v>
      </c>
      <c r="E6" s="1" t="s">
        <v>49</v>
      </c>
      <c r="F6" s="1" t="s">
        <v>50</v>
      </c>
      <c r="G6" s="1" t="s">
        <v>27</v>
      </c>
      <c r="H6" s="1"/>
      <c r="I6" s="1"/>
      <c r="J6" s="1" t="s">
        <v>30</v>
      </c>
      <c r="K6" s="3">
        <v>46070.663055555553</v>
      </c>
      <c r="L6" s="3">
        <v>46070.66070601852</v>
      </c>
      <c r="M6" s="3">
        <v>46070.663055555553</v>
      </c>
    </row>
    <row r="7" spans="1:13" x14ac:dyDescent="0.25">
      <c r="A7">
        <v>26</v>
      </c>
      <c r="B7" s="1" t="s">
        <v>51</v>
      </c>
      <c r="C7" s="1" t="s">
        <v>52</v>
      </c>
      <c r="D7" s="1" t="s">
        <v>53</v>
      </c>
      <c r="E7" s="1" t="s">
        <v>54</v>
      </c>
      <c r="F7" s="1" t="s">
        <v>55</v>
      </c>
      <c r="G7" s="1" t="s">
        <v>56</v>
      </c>
      <c r="H7" s="1" t="s">
        <v>57</v>
      </c>
      <c r="I7" s="1"/>
      <c r="J7" s="1" t="s">
        <v>30</v>
      </c>
      <c r="K7" s="3"/>
      <c r="L7" s="3">
        <v>46070.678912037038</v>
      </c>
      <c r="M7" s="3">
        <v>46070.678912037038</v>
      </c>
    </row>
    <row r="8" spans="1:13" x14ac:dyDescent="0.25">
      <c r="A8">
        <v>27</v>
      </c>
      <c r="B8" s="1" t="s">
        <v>58</v>
      </c>
      <c r="C8" s="1" t="s">
        <v>59</v>
      </c>
      <c r="D8" s="1" t="s">
        <v>53</v>
      </c>
      <c r="E8" s="1" t="s">
        <v>60</v>
      </c>
      <c r="F8" s="1" t="s">
        <v>61</v>
      </c>
      <c r="G8" s="1" t="s">
        <v>62</v>
      </c>
      <c r="H8" s="1" t="s">
        <v>63</v>
      </c>
      <c r="I8" s="1"/>
      <c r="J8" s="1" t="s">
        <v>30</v>
      </c>
      <c r="K8" s="3"/>
      <c r="L8" s="3">
        <v>46070.678912037038</v>
      </c>
      <c r="M8" s="3">
        <v>46070.678912037038</v>
      </c>
    </row>
    <row r="9" spans="1:13" x14ac:dyDescent="0.25">
      <c r="A9">
        <v>28</v>
      </c>
      <c r="B9" s="1" t="s">
        <v>64</v>
      </c>
      <c r="C9" s="1" t="s">
        <v>65</v>
      </c>
      <c r="D9" s="1" t="s">
        <v>53</v>
      </c>
      <c r="E9" s="1" t="s">
        <v>66</v>
      </c>
      <c r="F9" s="1" t="s">
        <v>67</v>
      </c>
      <c r="G9" s="1" t="s">
        <v>68</v>
      </c>
      <c r="H9" s="1" t="s">
        <v>69</v>
      </c>
      <c r="I9" s="1"/>
      <c r="J9" s="1" t="s">
        <v>30</v>
      </c>
      <c r="K9" s="3"/>
      <c r="L9" s="3">
        <v>46070.678912037038</v>
      </c>
      <c r="M9" s="3">
        <v>46070.678912037038</v>
      </c>
    </row>
    <row r="10" spans="1:13" x14ac:dyDescent="0.25">
      <c r="A10">
        <v>29</v>
      </c>
      <c r="B10" s="1" t="s">
        <v>70</v>
      </c>
      <c r="C10" s="1" t="s">
        <v>71</v>
      </c>
      <c r="D10" s="1" t="s">
        <v>53</v>
      </c>
      <c r="E10" s="1" t="s">
        <v>72</v>
      </c>
      <c r="F10" s="1" t="s">
        <v>73</v>
      </c>
      <c r="G10" s="1" t="s">
        <v>74</v>
      </c>
      <c r="H10" s="1" t="s">
        <v>75</v>
      </c>
      <c r="I10" s="1"/>
      <c r="J10" s="1" t="s">
        <v>30</v>
      </c>
      <c r="K10" s="3"/>
      <c r="L10" s="3">
        <v>46070.678912037038</v>
      </c>
      <c r="M10" s="3">
        <v>46070.678912037038</v>
      </c>
    </row>
    <row r="11" spans="1:13" x14ac:dyDescent="0.25">
      <c r="A11">
        <v>30</v>
      </c>
      <c r="B11" s="1" t="s">
        <v>76</v>
      </c>
      <c r="C11" s="1" t="s">
        <v>77</v>
      </c>
      <c r="D11" s="1" t="s">
        <v>53</v>
      </c>
      <c r="E11" s="1" t="s">
        <v>78</v>
      </c>
      <c r="F11" s="1" t="s">
        <v>79</v>
      </c>
      <c r="G11" s="1" t="s">
        <v>80</v>
      </c>
      <c r="H11" s="1" t="s">
        <v>81</v>
      </c>
      <c r="I11" s="1"/>
      <c r="J11" s="1" t="s">
        <v>30</v>
      </c>
      <c r="K11" s="3"/>
      <c r="L11" s="3">
        <v>46070.678912037038</v>
      </c>
      <c r="M11" s="3">
        <v>46070.678912037038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40271-3C4C-4012-80F7-1C294550B1DE}">
  <dimension ref="A1:Q21"/>
  <sheetViews>
    <sheetView topLeftCell="B4" workbookViewId="0"/>
  </sheetViews>
  <sheetFormatPr defaultRowHeight="15" x14ac:dyDescent="0.25"/>
  <cols>
    <col min="1" max="1" width="5" bestFit="1" customWidth="1"/>
    <col min="2" max="2" width="23" bestFit="1" customWidth="1"/>
    <col min="3" max="3" width="9" bestFit="1" customWidth="1"/>
    <col min="4" max="4" width="12.140625" bestFit="1" customWidth="1"/>
    <col min="5" max="5" width="36" bestFit="1" customWidth="1"/>
    <col min="6" max="6" width="48.28515625" bestFit="1" customWidth="1"/>
    <col min="7" max="7" width="11.85546875" bestFit="1" customWidth="1"/>
    <col min="8" max="8" width="14.5703125" bestFit="1" customWidth="1"/>
    <col min="9" max="9" width="18" bestFit="1" customWidth="1"/>
    <col min="10" max="10" width="15.7109375" bestFit="1" customWidth="1"/>
    <col min="11" max="11" width="10.7109375" bestFit="1" customWidth="1"/>
    <col min="12" max="12" width="15.140625" bestFit="1" customWidth="1"/>
    <col min="13" max="13" width="6" bestFit="1" customWidth="1"/>
    <col min="14" max="14" width="7.7109375" bestFit="1" customWidth="1"/>
    <col min="15" max="15" width="8.5703125" bestFit="1" customWidth="1"/>
    <col min="16" max="16" width="13.42578125" bestFit="1" customWidth="1"/>
    <col min="17" max="17" width="13.85546875" bestFit="1" customWidth="1"/>
  </cols>
  <sheetData>
    <row r="1" spans="1:17" x14ac:dyDescent="0.25">
      <c r="A1" t="s">
        <v>0</v>
      </c>
      <c r="B1" t="s">
        <v>133</v>
      </c>
      <c r="C1" t="s">
        <v>134</v>
      </c>
      <c r="D1" t="s">
        <v>135</v>
      </c>
      <c r="E1" t="s">
        <v>136</v>
      </c>
      <c r="F1" t="s">
        <v>137</v>
      </c>
      <c r="G1" t="s">
        <v>138</v>
      </c>
      <c r="H1" t="s">
        <v>139</v>
      </c>
      <c r="I1" t="s">
        <v>140</v>
      </c>
      <c r="J1" t="s">
        <v>141</v>
      </c>
      <c r="K1" t="s">
        <v>142</v>
      </c>
      <c r="L1" t="s">
        <v>143</v>
      </c>
      <c r="M1" t="s">
        <v>144</v>
      </c>
      <c r="N1" t="s">
        <v>145</v>
      </c>
      <c r="O1" t="s">
        <v>19</v>
      </c>
      <c r="P1" t="s">
        <v>146</v>
      </c>
      <c r="Q1" t="s">
        <v>6</v>
      </c>
    </row>
    <row r="2" spans="1:17" x14ac:dyDescent="0.25">
      <c r="A2">
        <v>1</v>
      </c>
      <c r="B2" s="1" t="s">
        <v>147</v>
      </c>
      <c r="C2" s="1" t="s">
        <v>148</v>
      </c>
      <c r="D2">
        <v>2850</v>
      </c>
      <c r="E2" s="1" t="s">
        <v>149</v>
      </c>
      <c r="F2" s="1" t="s">
        <v>150</v>
      </c>
      <c r="G2" s="1" t="s">
        <v>151</v>
      </c>
      <c r="H2" s="1" t="s">
        <v>152</v>
      </c>
      <c r="I2">
        <v>5</v>
      </c>
      <c r="J2">
        <v>200</v>
      </c>
      <c r="L2" s="1"/>
      <c r="M2" s="1"/>
      <c r="N2" s="1"/>
      <c r="O2" s="1" t="s">
        <v>30</v>
      </c>
      <c r="P2">
        <v>0</v>
      </c>
      <c r="Q2" s="3">
        <v>46062.548518518517</v>
      </c>
    </row>
    <row r="3" spans="1:17" x14ac:dyDescent="0.25">
      <c r="A3">
        <v>2</v>
      </c>
      <c r="B3" s="1" t="s">
        <v>153</v>
      </c>
      <c r="C3" s="1" t="s">
        <v>148</v>
      </c>
      <c r="D3">
        <v>3150</v>
      </c>
      <c r="E3" s="1" t="s">
        <v>154</v>
      </c>
      <c r="F3" s="1" t="s">
        <v>155</v>
      </c>
      <c r="G3" s="1" t="s">
        <v>151</v>
      </c>
      <c r="H3" s="1" t="s">
        <v>152</v>
      </c>
      <c r="I3">
        <v>5</v>
      </c>
      <c r="J3">
        <v>200</v>
      </c>
      <c r="L3" s="1"/>
      <c r="M3" s="1"/>
      <c r="N3" s="1"/>
      <c r="O3" s="1" t="s">
        <v>30</v>
      </c>
      <c r="P3">
        <v>0</v>
      </c>
      <c r="Q3" s="3">
        <v>46062.548518518517</v>
      </c>
    </row>
    <row r="4" spans="1:17" x14ac:dyDescent="0.25">
      <c r="A4">
        <v>3</v>
      </c>
      <c r="B4" s="1" t="s">
        <v>156</v>
      </c>
      <c r="C4" s="1" t="s">
        <v>157</v>
      </c>
      <c r="D4">
        <v>3650</v>
      </c>
      <c r="E4" s="1" t="s">
        <v>158</v>
      </c>
      <c r="F4" s="1" t="s">
        <v>159</v>
      </c>
      <c r="G4" s="1" t="s">
        <v>151</v>
      </c>
      <c r="H4" s="1" t="s">
        <v>152</v>
      </c>
      <c r="I4">
        <v>5</v>
      </c>
      <c r="J4">
        <v>200</v>
      </c>
      <c r="L4" s="1"/>
      <c r="M4" s="1"/>
      <c r="N4" s="1"/>
      <c r="O4" s="1" t="s">
        <v>30</v>
      </c>
      <c r="P4">
        <v>0</v>
      </c>
      <c r="Q4" s="3">
        <v>46062.548518518517</v>
      </c>
    </row>
    <row r="5" spans="1:17" x14ac:dyDescent="0.25">
      <c r="A5">
        <v>4</v>
      </c>
      <c r="B5" s="1" t="s">
        <v>160</v>
      </c>
      <c r="C5" s="1" t="s">
        <v>161</v>
      </c>
      <c r="D5">
        <v>5108</v>
      </c>
      <c r="E5" s="1" t="s">
        <v>162</v>
      </c>
      <c r="F5" s="1" t="s">
        <v>163</v>
      </c>
      <c r="G5" s="1" t="s">
        <v>151</v>
      </c>
      <c r="H5" s="1" t="s">
        <v>152</v>
      </c>
      <c r="I5">
        <v>5</v>
      </c>
      <c r="J5">
        <v>200</v>
      </c>
      <c r="L5" s="1"/>
      <c r="M5" s="1"/>
      <c r="N5" s="1"/>
      <c r="O5" s="1" t="s">
        <v>30</v>
      </c>
      <c r="P5">
        <v>1</v>
      </c>
      <c r="Q5" s="3">
        <v>46062.548518518517</v>
      </c>
    </row>
    <row r="6" spans="1:17" x14ac:dyDescent="0.25">
      <c r="A6">
        <v>5</v>
      </c>
      <c r="B6" s="1" t="s">
        <v>164</v>
      </c>
      <c r="C6" s="1" t="s">
        <v>165</v>
      </c>
      <c r="D6">
        <v>5878</v>
      </c>
      <c r="E6" s="1" t="s">
        <v>166</v>
      </c>
      <c r="F6" s="1" t="s">
        <v>167</v>
      </c>
      <c r="G6" s="1" t="s">
        <v>151</v>
      </c>
      <c r="H6" s="1" t="s">
        <v>152</v>
      </c>
      <c r="I6">
        <v>5</v>
      </c>
      <c r="J6">
        <v>200</v>
      </c>
      <c r="L6" s="1"/>
      <c r="M6" s="1"/>
      <c r="N6" s="1"/>
      <c r="O6" s="1" t="s">
        <v>30</v>
      </c>
      <c r="P6">
        <v>0</v>
      </c>
      <c r="Q6" s="3">
        <v>46062.548518518517</v>
      </c>
    </row>
    <row r="7" spans="1:17" x14ac:dyDescent="0.25">
      <c r="A7">
        <v>6</v>
      </c>
      <c r="B7" s="1" t="s">
        <v>168</v>
      </c>
      <c r="C7" s="1" t="s">
        <v>169</v>
      </c>
      <c r="D7">
        <v>4250</v>
      </c>
      <c r="E7" s="1" t="s">
        <v>170</v>
      </c>
      <c r="F7" s="1" t="s">
        <v>171</v>
      </c>
      <c r="G7" s="1" t="s">
        <v>151</v>
      </c>
      <c r="H7" s="1" t="s">
        <v>152</v>
      </c>
      <c r="I7">
        <v>5</v>
      </c>
      <c r="J7">
        <v>200</v>
      </c>
      <c r="L7" s="1"/>
      <c r="M7" s="1"/>
      <c r="N7" s="1"/>
      <c r="O7" s="1" t="s">
        <v>30</v>
      </c>
      <c r="P7">
        <v>0</v>
      </c>
      <c r="Q7" s="3">
        <v>46062.548518518517</v>
      </c>
    </row>
    <row r="8" spans="1:17" x14ac:dyDescent="0.25">
      <c r="A8">
        <v>7</v>
      </c>
      <c r="B8" s="1" t="s">
        <v>147</v>
      </c>
      <c r="C8" s="1" t="s">
        <v>148</v>
      </c>
      <c r="D8">
        <v>2850</v>
      </c>
      <c r="E8" s="1" t="s">
        <v>149</v>
      </c>
      <c r="F8" s="1" t="s">
        <v>150</v>
      </c>
      <c r="G8" s="1" t="s">
        <v>151</v>
      </c>
      <c r="H8" s="1" t="s">
        <v>152</v>
      </c>
      <c r="I8">
        <v>5</v>
      </c>
      <c r="J8">
        <v>200</v>
      </c>
      <c r="L8" s="1"/>
      <c r="M8" s="1"/>
      <c r="N8" s="1"/>
      <c r="O8" s="1" t="s">
        <v>30</v>
      </c>
      <c r="P8">
        <v>0</v>
      </c>
      <c r="Q8" s="3">
        <v>46062.55023148148</v>
      </c>
    </row>
    <row r="9" spans="1:17" x14ac:dyDescent="0.25">
      <c r="A9">
        <v>8</v>
      </c>
      <c r="B9" s="1" t="s">
        <v>153</v>
      </c>
      <c r="C9" s="1" t="s">
        <v>148</v>
      </c>
      <c r="D9">
        <v>3150</v>
      </c>
      <c r="E9" s="1" t="s">
        <v>154</v>
      </c>
      <c r="F9" s="1" t="s">
        <v>155</v>
      </c>
      <c r="G9" s="1" t="s">
        <v>151</v>
      </c>
      <c r="H9" s="1" t="s">
        <v>152</v>
      </c>
      <c r="I9">
        <v>5</v>
      </c>
      <c r="J9">
        <v>200</v>
      </c>
      <c r="L9" s="1"/>
      <c r="M9" s="1"/>
      <c r="N9" s="1"/>
      <c r="O9" s="1" t="s">
        <v>30</v>
      </c>
      <c r="P9">
        <v>0</v>
      </c>
      <c r="Q9" s="3">
        <v>46062.55023148148</v>
      </c>
    </row>
    <row r="10" spans="1:17" x14ac:dyDescent="0.25">
      <c r="A10">
        <v>11</v>
      </c>
      <c r="B10" s="1" t="s">
        <v>156</v>
      </c>
      <c r="C10" s="1" t="s">
        <v>157</v>
      </c>
      <c r="D10">
        <v>3650</v>
      </c>
      <c r="E10" s="1" t="s">
        <v>158</v>
      </c>
      <c r="F10" s="1" t="s">
        <v>159</v>
      </c>
      <c r="G10" s="1" t="s">
        <v>151</v>
      </c>
      <c r="H10" s="1" t="s">
        <v>152</v>
      </c>
      <c r="I10">
        <v>5</v>
      </c>
      <c r="J10">
        <v>200</v>
      </c>
      <c r="L10" s="1"/>
      <c r="M10" s="1"/>
      <c r="N10" s="1"/>
      <c r="O10" s="1" t="s">
        <v>30</v>
      </c>
      <c r="P10">
        <v>0</v>
      </c>
      <c r="Q10" s="3">
        <v>46062.55023148148</v>
      </c>
    </row>
    <row r="11" spans="1:17" x14ac:dyDescent="0.25">
      <c r="A11">
        <v>20</v>
      </c>
      <c r="B11" s="1" t="s">
        <v>147</v>
      </c>
      <c r="C11" s="1" t="s">
        <v>148</v>
      </c>
      <c r="D11">
        <v>2850</v>
      </c>
      <c r="E11" s="1" t="s">
        <v>149</v>
      </c>
      <c r="F11" s="1" t="s">
        <v>150</v>
      </c>
      <c r="G11" s="1" t="s">
        <v>151</v>
      </c>
      <c r="H11" s="1" t="s">
        <v>152</v>
      </c>
      <c r="I11">
        <v>5</v>
      </c>
      <c r="J11">
        <v>200</v>
      </c>
      <c r="L11" s="1"/>
      <c r="M11" s="1"/>
      <c r="N11" s="1"/>
      <c r="O11" s="1" t="s">
        <v>30</v>
      </c>
      <c r="P11">
        <v>1</v>
      </c>
      <c r="Q11" s="3">
        <v>46062.550949074073</v>
      </c>
    </row>
    <row r="12" spans="1:17" x14ac:dyDescent="0.25">
      <c r="A12">
        <v>21</v>
      </c>
      <c r="B12" s="1" t="s">
        <v>172</v>
      </c>
      <c r="C12" s="1" t="s">
        <v>148</v>
      </c>
      <c r="D12">
        <v>3150</v>
      </c>
      <c r="E12" s="1" t="s">
        <v>154</v>
      </c>
      <c r="F12" s="1" t="s">
        <v>155</v>
      </c>
      <c r="G12" s="1" t="s">
        <v>151</v>
      </c>
      <c r="H12" s="1" t="s">
        <v>152</v>
      </c>
      <c r="I12">
        <v>5</v>
      </c>
      <c r="J12">
        <v>200</v>
      </c>
      <c r="L12" s="1"/>
      <c r="M12" s="1"/>
      <c r="N12" s="1"/>
      <c r="O12" s="1" t="s">
        <v>30</v>
      </c>
      <c r="P12">
        <v>0</v>
      </c>
      <c r="Q12" s="3">
        <v>46062.550949074073</v>
      </c>
    </row>
    <row r="13" spans="1:17" x14ac:dyDescent="0.25">
      <c r="A13">
        <v>22</v>
      </c>
      <c r="B13" s="1" t="s">
        <v>173</v>
      </c>
      <c r="C13" s="1" t="s">
        <v>148</v>
      </c>
      <c r="D13">
        <v>2650</v>
      </c>
      <c r="E13" s="1" t="s">
        <v>174</v>
      </c>
      <c r="F13" s="1" t="s">
        <v>175</v>
      </c>
      <c r="G13" s="1" t="s">
        <v>151</v>
      </c>
      <c r="H13" s="1" t="s">
        <v>152</v>
      </c>
      <c r="I13">
        <v>5</v>
      </c>
      <c r="J13">
        <v>200</v>
      </c>
      <c r="L13" s="1"/>
      <c r="M13" s="1"/>
      <c r="N13" s="1"/>
      <c r="O13" s="1" t="s">
        <v>30</v>
      </c>
      <c r="P13">
        <v>0</v>
      </c>
      <c r="Q13" s="3">
        <v>46062.550949074073</v>
      </c>
    </row>
    <row r="14" spans="1:17" x14ac:dyDescent="0.25">
      <c r="A14">
        <v>23</v>
      </c>
      <c r="B14" s="1" t="s">
        <v>176</v>
      </c>
      <c r="C14" s="1" t="s">
        <v>148</v>
      </c>
      <c r="D14">
        <v>2950</v>
      </c>
      <c r="E14" s="1" t="s">
        <v>177</v>
      </c>
      <c r="F14" s="1" t="s">
        <v>178</v>
      </c>
      <c r="G14" s="1" t="s">
        <v>151</v>
      </c>
      <c r="H14" s="1" t="s">
        <v>152</v>
      </c>
      <c r="I14">
        <v>5</v>
      </c>
      <c r="J14">
        <v>200</v>
      </c>
      <c r="L14" s="1" t="s">
        <v>179</v>
      </c>
      <c r="M14" s="1" t="s">
        <v>179</v>
      </c>
      <c r="N14" s="1" t="s">
        <v>179</v>
      </c>
      <c r="O14" s="1" t="s">
        <v>30</v>
      </c>
      <c r="P14">
        <v>1</v>
      </c>
      <c r="Q14" s="3">
        <v>46062.550949074073</v>
      </c>
    </row>
    <row r="15" spans="1:17" x14ac:dyDescent="0.25">
      <c r="A15">
        <v>24</v>
      </c>
      <c r="B15" s="1" t="s">
        <v>7</v>
      </c>
      <c r="C15" s="1" t="s">
        <v>157</v>
      </c>
      <c r="D15">
        <v>3650</v>
      </c>
      <c r="E15" s="1" t="s">
        <v>158</v>
      </c>
      <c r="F15" s="1" t="s">
        <v>159</v>
      </c>
      <c r="G15" s="1" t="s">
        <v>151</v>
      </c>
      <c r="H15" s="1" t="s">
        <v>152</v>
      </c>
      <c r="I15">
        <v>5</v>
      </c>
      <c r="J15">
        <v>200</v>
      </c>
      <c r="L15" s="1"/>
      <c r="M15" s="1"/>
      <c r="N15" s="1"/>
      <c r="O15" s="1" t="s">
        <v>30</v>
      </c>
      <c r="P15">
        <v>1</v>
      </c>
      <c r="Q15" s="3">
        <v>46062.550949074073</v>
      </c>
    </row>
    <row r="16" spans="1:17" x14ac:dyDescent="0.25">
      <c r="A16">
        <v>25</v>
      </c>
      <c r="B16" s="1" t="s">
        <v>180</v>
      </c>
      <c r="C16" s="1" t="s">
        <v>157</v>
      </c>
      <c r="D16">
        <v>3850</v>
      </c>
      <c r="E16" s="1" t="s">
        <v>181</v>
      </c>
      <c r="F16" s="1" t="s">
        <v>182</v>
      </c>
      <c r="G16" s="1" t="s">
        <v>151</v>
      </c>
      <c r="H16" s="1" t="s">
        <v>152</v>
      </c>
      <c r="I16">
        <v>5</v>
      </c>
      <c r="J16">
        <v>200</v>
      </c>
      <c r="L16" s="1"/>
      <c r="M16" s="1"/>
      <c r="N16" s="1"/>
      <c r="O16" s="1" t="s">
        <v>30</v>
      </c>
      <c r="P16">
        <v>0</v>
      </c>
      <c r="Q16" s="3">
        <v>46062.550949074073</v>
      </c>
    </row>
    <row r="17" spans="1:17" x14ac:dyDescent="0.25">
      <c r="A17">
        <v>26</v>
      </c>
      <c r="B17" s="1" t="s">
        <v>183</v>
      </c>
      <c r="C17" s="1" t="s">
        <v>157</v>
      </c>
      <c r="D17">
        <v>3950</v>
      </c>
      <c r="E17" s="1" t="s">
        <v>184</v>
      </c>
      <c r="F17" s="1" t="s">
        <v>185</v>
      </c>
      <c r="G17" s="1" t="s">
        <v>151</v>
      </c>
      <c r="H17" s="1" t="s">
        <v>152</v>
      </c>
      <c r="I17">
        <v>5</v>
      </c>
      <c r="J17">
        <v>200</v>
      </c>
      <c r="L17" s="1"/>
      <c r="M17" s="1"/>
      <c r="N17" s="1"/>
      <c r="O17" s="1" t="s">
        <v>30</v>
      </c>
      <c r="P17">
        <v>0</v>
      </c>
      <c r="Q17" s="3">
        <v>46062.550949074073</v>
      </c>
    </row>
    <row r="18" spans="1:17" x14ac:dyDescent="0.25">
      <c r="A18">
        <v>27</v>
      </c>
      <c r="B18" s="1" t="s">
        <v>160</v>
      </c>
      <c r="C18" s="1" t="s">
        <v>161</v>
      </c>
      <c r="D18">
        <v>5108</v>
      </c>
      <c r="E18" s="1" t="s">
        <v>162</v>
      </c>
      <c r="F18" s="1" t="s">
        <v>163</v>
      </c>
      <c r="G18" s="1" t="s">
        <v>151</v>
      </c>
      <c r="H18" s="1" t="s">
        <v>152</v>
      </c>
      <c r="I18">
        <v>5</v>
      </c>
      <c r="J18">
        <v>200</v>
      </c>
      <c r="L18" s="1"/>
      <c r="M18" s="1"/>
      <c r="N18" s="1"/>
      <c r="O18" s="1" t="s">
        <v>30</v>
      </c>
      <c r="P18">
        <v>0</v>
      </c>
      <c r="Q18" s="3">
        <v>46062.550949074073</v>
      </c>
    </row>
    <row r="19" spans="1:17" x14ac:dyDescent="0.25">
      <c r="A19">
        <v>30</v>
      </c>
      <c r="B19" s="1" t="s">
        <v>164</v>
      </c>
      <c r="C19" s="1" t="s">
        <v>165</v>
      </c>
      <c r="D19">
        <v>5878</v>
      </c>
      <c r="E19" s="1" t="s">
        <v>166</v>
      </c>
      <c r="F19" s="1" t="s">
        <v>167</v>
      </c>
      <c r="G19" s="1" t="s">
        <v>151</v>
      </c>
      <c r="H19" s="1" t="s">
        <v>152</v>
      </c>
      <c r="I19">
        <v>5</v>
      </c>
      <c r="J19">
        <v>200</v>
      </c>
      <c r="L19" s="1"/>
      <c r="M19" s="1"/>
      <c r="N19" s="1"/>
      <c r="O19" s="1" t="s">
        <v>30</v>
      </c>
      <c r="P19">
        <v>0</v>
      </c>
      <c r="Q19" s="3">
        <v>46062.550949074073</v>
      </c>
    </row>
    <row r="20" spans="1:17" x14ac:dyDescent="0.25">
      <c r="A20">
        <v>33</v>
      </c>
      <c r="B20" s="1" t="s">
        <v>168</v>
      </c>
      <c r="C20" s="1" t="s">
        <v>169</v>
      </c>
      <c r="D20">
        <v>4250</v>
      </c>
      <c r="E20" s="1" t="s">
        <v>170</v>
      </c>
      <c r="F20" s="1" t="s">
        <v>171</v>
      </c>
      <c r="G20" s="1" t="s">
        <v>151</v>
      </c>
      <c r="H20" s="1" t="s">
        <v>152</v>
      </c>
      <c r="I20">
        <v>5</v>
      </c>
      <c r="J20">
        <v>200</v>
      </c>
      <c r="L20" s="1"/>
      <c r="M20" s="1"/>
      <c r="N20" s="1"/>
      <c r="O20" s="1" t="s">
        <v>30</v>
      </c>
      <c r="P20">
        <v>0</v>
      </c>
      <c r="Q20" s="3">
        <v>46062.550949074073</v>
      </c>
    </row>
    <row r="21" spans="1:17" x14ac:dyDescent="0.25">
      <c r="A21">
        <v>35</v>
      </c>
      <c r="B21" s="1" t="s">
        <v>186</v>
      </c>
      <c r="C21" s="1" t="s">
        <v>169</v>
      </c>
      <c r="D21">
        <v>4500</v>
      </c>
      <c r="E21" s="1" t="s">
        <v>187</v>
      </c>
      <c r="F21" s="1" t="s">
        <v>188</v>
      </c>
      <c r="G21" s="1" t="s">
        <v>151</v>
      </c>
      <c r="H21" s="1" t="s">
        <v>152</v>
      </c>
      <c r="I21">
        <v>5</v>
      </c>
      <c r="J21">
        <v>200</v>
      </c>
      <c r="L21" s="1"/>
      <c r="M21" s="1"/>
      <c r="N21" s="1"/>
      <c r="O21" s="1" t="s">
        <v>30</v>
      </c>
      <c r="P21">
        <v>1</v>
      </c>
      <c r="Q21" s="3">
        <v>46062.550949074073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9C6E-EA9F-4C3B-A60B-0B49A8506A42}">
  <dimension ref="A1:I8"/>
  <sheetViews>
    <sheetView workbookViewId="0">
      <selection activeCell="C7" sqref="C7"/>
    </sheetView>
  </sheetViews>
  <sheetFormatPr defaultRowHeight="15" x14ac:dyDescent="0.25"/>
  <cols>
    <col min="1" max="1" width="5" bestFit="1" customWidth="1"/>
    <col min="2" max="2" width="22.28515625" bestFit="1" customWidth="1"/>
    <col min="3" max="3" width="15.5703125" bestFit="1" customWidth="1"/>
    <col min="4" max="4" width="12.28515625" bestFit="1" customWidth="1"/>
    <col min="5" max="5" width="22.140625" bestFit="1" customWidth="1"/>
    <col min="6" max="6" width="11.85546875" bestFit="1" customWidth="1"/>
    <col min="7" max="7" width="11.28515625" bestFit="1" customWidth="1"/>
    <col min="8" max="8" width="8.5703125" bestFit="1" customWidth="1"/>
    <col min="9" max="9" width="14.85546875" bestFit="1" customWidth="1"/>
  </cols>
  <sheetData>
    <row r="1" spans="1:9" x14ac:dyDescent="0.25">
      <c r="A1" t="s">
        <v>0</v>
      </c>
      <c r="B1" t="s">
        <v>1</v>
      </c>
      <c r="C1" t="s">
        <v>189</v>
      </c>
      <c r="D1" t="s">
        <v>190</v>
      </c>
      <c r="E1" t="s">
        <v>191</v>
      </c>
      <c r="F1" t="s">
        <v>192</v>
      </c>
      <c r="G1" t="s">
        <v>193</v>
      </c>
      <c r="H1" t="s">
        <v>19</v>
      </c>
      <c r="I1" t="s">
        <v>6</v>
      </c>
    </row>
    <row r="2" spans="1:9" x14ac:dyDescent="0.25">
      <c r="A2">
        <v>5</v>
      </c>
      <c r="B2" s="1" t="s">
        <v>160</v>
      </c>
      <c r="C2">
        <v>5108</v>
      </c>
      <c r="D2">
        <v>3831</v>
      </c>
      <c r="E2">
        <v>25</v>
      </c>
      <c r="F2" s="2">
        <v>46062</v>
      </c>
      <c r="G2" s="2">
        <v>46063</v>
      </c>
      <c r="H2" s="1" t="s">
        <v>30</v>
      </c>
      <c r="I2" s="3">
        <v>46062.536400462966</v>
      </c>
    </row>
    <row r="3" spans="1:9" x14ac:dyDescent="0.25">
      <c r="A3">
        <v>6</v>
      </c>
      <c r="B3" s="1" t="s">
        <v>183</v>
      </c>
      <c r="C3">
        <v>3950</v>
      </c>
      <c r="D3">
        <v>3357.5</v>
      </c>
      <c r="E3">
        <v>15</v>
      </c>
      <c r="F3" s="2">
        <v>46062</v>
      </c>
      <c r="G3" s="2">
        <v>46074</v>
      </c>
      <c r="H3" s="1" t="s">
        <v>30</v>
      </c>
      <c r="I3" s="3">
        <v>46062.586435185185</v>
      </c>
    </row>
    <row r="4" spans="1:9" x14ac:dyDescent="0.25">
      <c r="A4">
        <v>7</v>
      </c>
      <c r="B4" s="1" t="s">
        <v>164</v>
      </c>
      <c r="C4">
        <v>5878</v>
      </c>
      <c r="D4">
        <v>4408.5</v>
      </c>
      <c r="E4">
        <v>25</v>
      </c>
      <c r="F4" s="2">
        <v>46062</v>
      </c>
      <c r="G4" s="2">
        <v>46064</v>
      </c>
      <c r="H4" s="1" t="s">
        <v>30</v>
      </c>
      <c r="I4" s="3">
        <v>46062.640439814815</v>
      </c>
    </row>
    <row r="5" spans="1:9" x14ac:dyDescent="0.25">
      <c r="A5">
        <v>8</v>
      </c>
      <c r="B5" s="1" t="s">
        <v>7</v>
      </c>
      <c r="C5">
        <v>3650</v>
      </c>
      <c r="D5">
        <v>2737.5</v>
      </c>
      <c r="E5">
        <v>25</v>
      </c>
      <c r="F5" s="2">
        <v>46062</v>
      </c>
      <c r="G5" s="2">
        <v>46064</v>
      </c>
      <c r="H5" s="1" t="s">
        <v>30</v>
      </c>
      <c r="I5" s="3">
        <v>46062.640833333331</v>
      </c>
    </row>
    <row r="6" spans="1:9" x14ac:dyDescent="0.25">
      <c r="A6">
        <v>9</v>
      </c>
      <c r="B6" s="1" t="s">
        <v>186</v>
      </c>
      <c r="C6">
        <v>4500</v>
      </c>
      <c r="D6">
        <v>3825</v>
      </c>
      <c r="E6">
        <v>15</v>
      </c>
      <c r="F6" s="2">
        <v>46062</v>
      </c>
      <c r="G6" s="2">
        <v>46072</v>
      </c>
      <c r="H6" s="1" t="s">
        <v>30</v>
      </c>
      <c r="I6" s="3">
        <v>46062.641053240739</v>
      </c>
    </row>
    <row r="7" spans="1:9" x14ac:dyDescent="0.25">
      <c r="A7">
        <v>10</v>
      </c>
      <c r="B7" s="1" t="s">
        <v>173</v>
      </c>
      <c r="C7">
        <v>2650</v>
      </c>
      <c r="D7">
        <v>2040.5</v>
      </c>
      <c r="E7">
        <v>23</v>
      </c>
      <c r="F7" s="2">
        <v>46066</v>
      </c>
      <c r="G7" s="2">
        <v>46081</v>
      </c>
      <c r="H7" s="1" t="s">
        <v>30</v>
      </c>
      <c r="I7" s="3">
        <v>46066.460405092592</v>
      </c>
    </row>
    <row r="8" spans="1:9" x14ac:dyDescent="0.25">
      <c r="A8">
        <v>11</v>
      </c>
      <c r="B8" s="1" t="s">
        <v>180</v>
      </c>
      <c r="C8">
        <v>3850</v>
      </c>
      <c r="D8">
        <v>3388</v>
      </c>
      <c r="E8">
        <v>12</v>
      </c>
      <c r="F8" s="2">
        <v>46066</v>
      </c>
      <c r="G8" s="2">
        <v>46093</v>
      </c>
      <c r="H8" s="1" t="s">
        <v>30</v>
      </c>
      <c r="I8" s="3">
        <v>46066.460532407407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8C4C-308D-4E07-96F7-EA70E4D4D0EF}">
  <dimension ref="A1:K16"/>
  <sheetViews>
    <sheetView workbookViewId="0">
      <selection activeCell="C38" sqref="C38"/>
    </sheetView>
  </sheetViews>
  <sheetFormatPr defaultRowHeight="15" x14ac:dyDescent="0.25"/>
  <cols>
    <col min="1" max="1" width="5" bestFit="1" customWidth="1"/>
    <col min="2" max="2" width="21.140625" bestFit="1" customWidth="1"/>
    <col min="3" max="3" width="24" bestFit="1" customWidth="1"/>
    <col min="4" max="4" width="27.5703125" bestFit="1" customWidth="1"/>
    <col min="5" max="5" width="19" bestFit="1" customWidth="1"/>
    <col min="6" max="6" width="8.42578125" bestFit="1" customWidth="1"/>
    <col min="7" max="7" width="81.140625" bestFit="1" customWidth="1"/>
    <col min="8" max="8" width="9.28515625" bestFit="1" customWidth="1"/>
    <col min="9" max="10" width="7.28515625" bestFit="1" customWidth="1"/>
    <col min="11" max="12" width="9.7109375" bestFit="1" customWidth="1"/>
  </cols>
  <sheetData>
    <row r="1" spans="1:11" x14ac:dyDescent="0.25">
      <c r="A1" t="s">
        <v>0</v>
      </c>
      <c r="B1" t="s">
        <v>194</v>
      </c>
      <c r="C1" t="s">
        <v>1</v>
      </c>
      <c r="D1" t="s">
        <v>195</v>
      </c>
      <c r="E1" t="s">
        <v>196</v>
      </c>
      <c r="F1" t="s">
        <v>197</v>
      </c>
      <c r="G1" t="s">
        <v>198</v>
      </c>
      <c r="H1" t="s">
        <v>622</v>
      </c>
      <c r="I1" t="s">
        <v>625</v>
      </c>
      <c r="J1" t="s">
        <v>624</v>
      </c>
      <c r="K1" t="s">
        <v>19</v>
      </c>
    </row>
    <row r="2" spans="1:11" x14ac:dyDescent="0.25">
      <c r="A2">
        <v>19</v>
      </c>
      <c r="B2" s="1" t="s">
        <v>199</v>
      </c>
      <c r="C2" s="1" t="s">
        <v>200</v>
      </c>
      <c r="D2" s="1" t="s">
        <v>201</v>
      </c>
      <c r="E2" s="1" t="s">
        <v>202</v>
      </c>
      <c r="F2">
        <v>4</v>
      </c>
      <c r="G2" s="1" t="s">
        <v>203</v>
      </c>
      <c r="H2">
        <v>1</v>
      </c>
      <c r="I2">
        <v>26</v>
      </c>
      <c r="J2">
        <v>2026</v>
      </c>
      <c r="K2" s="1" t="s">
        <v>204</v>
      </c>
    </row>
    <row r="3" spans="1:11" x14ac:dyDescent="0.25">
      <c r="A3">
        <v>20</v>
      </c>
      <c r="B3" s="1" t="s">
        <v>205</v>
      </c>
      <c r="C3" s="1" t="s">
        <v>206</v>
      </c>
      <c r="D3" s="1" t="s">
        <v>207</v>
      </c>
      <c r="E3" s="1" t="s">
        <v>208</v>
      </c>
      <c r="F3">
        <v>4</v>
      </c>
      <c r="G3" s="1" t="s">
        <v>209</v>
      </c>
      <c r="H3">
        <v>1</v>
      </c>
      <c r="I3">
        <v>28</v>
      </c>
      <c r="J3">
        <v>2026</v>
      </c>
      <c r="K3" s="1" t="s">
        <v>204</v>
      </c>
    </row>
    <row r="4" spans="1:11" x14ac:dyDescent="0.25">
      <c r="A4">
        <v>21</v>
      </c>
      <c r="B4" s="1" t="s">
        <v>210</v>
      </c>
      <c r="C4" s="1" t="s">
        <v>211</v>
      </c>
      <c r="D4" s="1" t="s">
        <v>212</v>
      </c>
      <c r="E4" s="1" t="s">
        <v>213</v>
      </c>
      <c r="F4">
        <v>3</v>
      </c>
      <c r="G4" s="1" t="s">
        <v>214</v>
      </c>
      <c r="H4">
        <v>1</v>
      </c>
      <c r="I4">
        <v>29</v>
      </c>
      <c r="J4">
        <v>2026</v>
      </c>
      <c r="K4" s="1" t="s">
        <v>204</v>
      </c>
    </row>
    <row r="5" spans="1:11" x14ac:dyDescent="0.25">
      <c r="A5">
        <v>22</v>
      </c>
      <c r="B5" s="1" t="s">
        <v>215</v>
      </c>
      <c r="C5" s="1" t="s">
        <v>180</v>
      </c>
      <c r="D5" s="1" t="s">
        <v>216</v>
      </c>
      <c r="E5" s="1" t="s">
        <v>217</v>
      </c>
      <c r="F5">
        <v>5</v>
      </c>
      <c r="G5" s="1" t="s">
        <v>218</v>
      </c>
      <c r="H5">
        <v>2</v>
      </c>
      <c r="I5">
        <v>3</v>
      </c>
      <c r="J5">
        <v>2026</v>
      </c>
      <c r="K5" s="1" t="s">
        <v>204</v>
      </c>
    </row>
    <row r="6" spans="1:11" x14ac:dyDescent="0.25">
      <c r="A6">
        <v>23</v>
      </c>
      <c r="B6" s="1" t="s">
        <v>219</v>
      </c>
      <c r="C6" s="1" t="s">
        <v>220</v>
      </c>
      <c r="D6" s="1" t="s">
        <v>221</v>
      </c>
      <c r="E6" s="1" t="s">
        <v>222</v>
      </c>
      <c r="F6">
        <v>5</v>
      </c>
      <c r="G6" s="1" t="s">
        <v>223</v>
      </c>
      <c r="H6">
        <v>2</v>
      </c>
      <c r="I6">
        <v>4</v>
      </c>
      <c r="J6">
        <v>2026</v>
      </c>
      <c r="K6" s="1" t="s">
        <v>204</v>
      </c>
    </row>
    <row r="7" spans="1:11" x14ac:dyDescent="0.25">
      <c r="A7">
        <v>24</v>
      </c>
      <c r="B7" s="1" t="s">
        <v>224</v>
      </c>
      <c r="C7" s="1" t="s">
        <v>200</v>
      </c>
      <c r="D7" s="1" t="s">
        <v>225</v>
      </c>
      <c r="E7" s="1" t="s">
        <v>226</v>
      </c>
      <c r="F7">
        <v>4</v>
      </c>
      <c r="G7" s="1" t="s">
        <v>203</v>
      </c>
      <c r="H7">
        <v>11</v>
      </c>
      <c r="I7">
        <v>16</v>
      </c>
      <c r="J7">
        <v>2025</v>
      </c>
      <c r="K7" s="1" t="s">
        <v>204</v>
      </c>
    </row>
    <row r="8" spans="1:11" x14ac:dyDescent="0.25">
      <c r="A8">
        <v>25</v>
      </c>
      <c r="B8" s="1" t="s">
        <v>227</v>
      </c>
      <c r="C8" s="1" t="s">
        <v>228</v>
      </c>
      <c r="D8" s="1" t="s">
        <v>229</v>
      </c>
      <c r="E8" s="1" t="s">
        <v>230</v>
      </c>
      <c r="F8">
        <v>3</v>
      </c>
      <c r="G8" s="1" t="s">
        <v>231</v>
      </c>
      <c r="H8">
        <v>11</v>
      </c>
      <c r="I8">
        <v>23</v>
      </c>
      <c r="J8">
        <v>2025</v>
      </c>
      <c r="K8" s="1" t="s">
        <v>204</v>
      </c>
    </row>
    <row r="9" spans="1:11" x14ac:dyDescent="0.25">
      <c r="A9">
        <v>26</v>
      </c>
      <c r="B9" s="1" t="s">
        <v>232</v>
      </c>
      <c r="C9" s="1" t="s">
        <v>206</v>
      </c>
      <c r="D9" s="1" t="s">
        <v>233</v>
      </c>
      <c r="E9" s="1" t="s">
        <v>234</v>
      </c>
      <c r="F9">
        <v>5</v>
      </c>
      <c r="G9" s="1" t="s">
        <v>235</v>
      </c>
      <c r="H9">
        <v>11</v>
      </c>
      <c r="I9">
        <v>29</v>
      </c>
      <c r="J9">
        <v>2025</v>
      </c>
      <c r="K9" s="1" t="s">
        <v>204</v>
      </c>
    </row>
    <row r="10" spans="1:11" x14ac:dyDescent="0.25">
      <c r="A10">
        <v>27</v>
      </c>
      <c r="B10" s="1" t="s">
        <v>236</v>
      </c>
      <c r="C10" s="1" t="s">
        <v>237</v>
      </c>
      <c r="D10" s="1" t="s">
        <v>238</v>
      </c>
      <c r="E10" s="1" t="s">
        <v>239</v>
      </c>
      <c r="F10">
        <v>4</v>
      </c>
      <c r="G10" s="1" t="s">
        <v>209</v>
      </c>
      <c r="H10">
        <v>12</v>
      </c>
      <c r="I10">
        <v>3</v>
      </c>
      <c r="J10">
        <v>2025</v>
      </c>
      <c r="K10" s="1" t="s">
        <v>204</v>
      </c>
    </row>
    <row r="11" spans="1:11" x14ac:dyDescent="0.25">
      <c r="A11">
        <v>28</v>
      </c>
      <c r="B11" s="1" t="s">
        <v>240</v>
      </c>
      <c r="C11" s="1" t="s">
        <v>241</v>
      </c>
      <c r="D11" s="1" t="s">
        <v>242</v>
      </c>
      <c r="E11" s="1" t="s">
        <v>243</v>
      </c>
      <c r="F11">
        <v>5</v>
      </c>
      <c r="G11" s="1" t="s">
        <v>244</v>
      </c>
      <c r="H11">
        <v>12</v>
      </c>
      <c r="I11">
        <v>4</v>
      </c>
      <c r="J11">
        <v>2025</v>
      </c>
      <c r="K11" s="1" t="s">
        <v>204</v>
      </c>
    </row>
    <row r="12" spans="1:11" x14ac:dyDescent="0.25">
      <c r="A12">
        <v>29</v>
      </c>
      <c r="B12" s="1" t="s">
        <v>245</v>
      </c>
      <c r="C12" s="1" t="s">
        <v>211</v>
      </c>
      <c r="D12" s="1" t="s">
        <v>246</v>
      </c>
      <c r="E12" s="1" t="s">
        <v>247</v>
      </c>
      <c r="F12">
        <v>4</v>
      </c>
      <c r="G12" s="1" t="s">
        <v>248</v>
      </c>
      <c r="H12">
        <v>12</v>
      </c>
      <c r="I12">
        <v>13</v>
      </c>
      <c r="J12">
        <v>2025</v>
      </c>
      <c r="K12" s="1" t="s">
        <v>204</v>
      </c>
    </row>
    <row r="13" spans="1:11" x14ac:dyDescent="0.25">
      <c r="A13">
        <v>30</v>
      </c>
      <c r="B13" s="1" t="s">
        <v>249</v>
      </c>
      <c r="C13" s="1" t="s">
        <v>250</v>
      </c>
      <c r="D13" s="1" t="s">
        <v>251</v>
      </c>
      <c r="E13" s="1" t="s">
        <v>252</v>
      </c>
      <c r="F13">
        <v>3</v>
      </c>
      <c r="G13" s="1" t="s">
        <v>214</v>
      </c>
      <c r="H13">
        <v>12</v>
      </c>
      <c r="I13">
        <v>20</v>
      </c>
      <c r="J13">
        <v>2025</v>
      </c>
      <c r="K13" s="1" t="s">
        <v>204</v>
      </c>
    </row>
    <row r="14" spans="1:11" x14ac:dyDescent="0.25">
      <c r="A14">
        <v>31</v>
      </c>
      <c r="B14" s="1" t="s">
        <v>253</v>
      </c>
      <c r="C14" s="1" t="s">
        <v>168</v>
      </c>
      <c r="D14" s="1" t="s">
        <v>254</v>
      </c>
      <c r="E14" s="1" t="s">
        <v>255</v>
      </c>
      <c r="F14">
        <v>5</v>
      </c>
      <c r="G14" s="1" t="s">
        <v>256</v>
      </c>
      <c r="H14">
        <v>12</v>
      </c>
      <c r="I14">
        <v>25</v>
      </c>
      <c r="J14">
        <v>2025</v>
      </c>
      <c r="K14" s="1" t="s">
        <v>204</v>
      </c>
    </row>
    <row r="15" spans="1:11" x14ac:dyDescent="0.25">
      <c r="A15">
        <v>32</v>
      </c>
      <c r="B15" s="1" t="s">
        <v>257</v>
      </c>
      <c r="C15" s="1" t="s">
        <v>258</v>
      </c>
      <c r="D15" s="1" t="s">
        <v>259</v>
      </c>
      <c r="E15" s="1" t="s">
        <v>260</v>
      </c>
      <c r="F15">
        <v>4</v>
      </c>
      <c r="G15" s="1" t="s">
        <v>261</v>
      </c>
      <c r="H15">
        <v>12</v>
      </c>
      <c r="I15">
        <v>30</v>
      </c>
      <c r="J15">
        <v>2025</v>
      </c>
      <c r="K15" s="1" t="s">
        <v>204</v>
      </c>
    </row>
    <row r="16" spans="1:11" x14ac:dyDescent="0.25">
      <c r="A16">
        <v>33</v>
      </c>
      <c r="B16" s="1" t="s">
        <v>262</v>
      </c>
      <c r="C16" s="1" t="s">
        <v>263</v>
      </c>
      <c r="D16" s="1" t="s">
        <v>264</v>
      </c>
      <c r="E16" s="1" t="s">
        <v>265</v>
      </c>
      <c r="F16">
        <v>5</v>
      </c>
      <c r="G16" s="1" t="s">
        <v>218</v>
      </c>
      <c r="H16">
        <v>1</v>
      </c>
      <c r="I16">
        <v>4</v>
      </c>
      <c r="J16">
        <v>2026</v>
      </c>
      <c r="K16" s="1" t="s">
        <v>204</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48FD4-A2F1-4F0A-9646-16B7FA82C101}">
  <dimension ref="A1:AX64"/>
  <sheetViews>
    <sheetView topLeftCell="A2" workbookViewId="0">
      <selection activeCell="E27" sqref="E27"/>
    </sheetView>
  </sheetViews>
  <sheetFormatPr defaultRowHeight="15" x14ac:dyDescent="0.25"/>
  <cols>
    <col min="1" max="1" width="5" bestFit="1" customWidth="1"/>
    <col min="2" max="2" width="22.5703125" bestFit="1" customWidth="1"/>
    <col min="3" max="3" width="19" bestFit="1" customWidth="1"/>
    <col min="4" max="4" width="28.28515625" bestFit="1" customWidth="1"/>
    <col min="5" max="5" width="18.42578125" bestFit="1" customWidth="1"/>
    <col min="6" max="6" width="15.85546875" bestFit="1" customWidth="1"/>
    <col min="7" max="7" width="9.28515625" bestFit="1" customWidth="1"/>
    <col min="8" max="8" width="7.42578125" bestFit="1" customWidth="1"/>
    <col min="9" max="9" width="7.28515625" bestFit="1" customWidth="1"/>
    <col min="10" max="10" width="15" bestFit="1" customWidth="1"/>
    <col min="11" max="11" width="14.28515625" bestFit="1" customWidth="1"/>
    <col min="12" max="12" width="15.140625" bestFit="1" customWidth="1"/>
    <col min="13" max="14" width="45" bestFit="1" customWidth="1"/>
    <col min="15" max="15" width="10.85546875" bestFit="1" customWidth="1"/>
    <col min="16" max="16" width="24" bestFit="1" customWidth="1"/>
    <col min="17" max="17" width="56.28515625" bestFit="1" customWidth="1"/>
    <col min="18" max="18" width="13.5703125" bestFit="1" customWidth="1"/>
    <col min="19" max="19" width="12.140625" bestFit="1" customWidth="1"/>
    <col min="20" max="20" width="10.5703125" bestFit="1" customWidth="1"/>
    <col min="21" max="21" width="16" bestFit="1" customWidth="1"/>
    <col min="22" max="22" width="17.28515625" bestFit="1" customWidth="1"/>
    <col min="23" max="23" width="15.42578125" bestFit="1" customWidth="1"/>
    <col min="24" max="24" width="14.42578125" bestFit="1" customWidth="1"/>
    <col min="25" max="25" width="18.85546875" bestFit="1" customWidth="1"/>
    <col min="26" max="26" width="11" bestFit="1" customWidth="1"/>
    <col min="27" max="27" width="20.140625" bestFit="1" customWidth="1"/>
    <col min="28" max="28" width="10.85546875" bestFit="1" customWidth="1"/>
    <col min="29" max="29" width="14.85546875" bestFit="1" customWidth="1"/>
    <col min="30" max="30" width="19.28515625" bestFit="1" customWidth="1"/>
    <col min="31" max="31" width="17.5703125" bestFit="1" customWidth="1"/>
    <col min="32" max="32" width="15.85546875" bestFit="1" customWidth="1"/>
    <col min="33" max="33" width="14.85546875" bestFit="1" customWidth="1"/>
    <col min="34" max="34" width="17.7109375" bestFit="1" customWidth="1"/>
    <col min="35" max="35" width="16.28515625" bestFit="1" customWidth="1"/>
    <col min="36" max="36" width="20.42578125" bestFit="1" customWidth="1"/>
    <col min="37" max="37" width="46.42578125" bestFit="1" customWidth="1"/>
    <col min="38" max="39" width="18" bestFit="1" customWidth="1"/>
    <col min="40" max="40" width="22.5703125" bestFit="1" customWidth="1"/>
    <col min="41" max="41" width="22.140625" bestFit="1" customWidth="1"/>
    <col min="42" max="42" width="16.28515625" bestFit="1" customWidth="1"/>
    <col min="43" max="43" width="15" bestFit="1" customWidth="1"/>
    <col min="44" max="44" width="20.42578125" bestFit="1" customWidth="1"/>
    <col min="45" max="45" width="17.28515625" bestFit="1" customWidth="1"/>
    <col min="46" max="46" width="20.140625" bestFit="1" customWidth="1"/>
    <col min="47" max="47" width="15.5703125" bestFit="1" customWidth="1"/>
    <col min="48" max="49" width="22.28515625" customWidth="1"/>
    <col min="50" max="51" width="29.140625" bestFit="1" customWidth="1"/>
  </cols>
  <sheetData>
    <row r="1" spans="1:50" x14ac:dyDescent="0.25">
      <c r="A1" t="s">
        <v>0</v>
      </c>
      <c r="B1" t="s">
        <v>194</v>
      </c>
      <c r="C1" t="s">
        <v>196</v>
      </c>
      <c r="D1" t="s">
        <v>195</v>
      </c>
      <c r="E1" t="s">
        <v>266</v>
      </c>
      <c r="F1" t="s">
        <v>267</v>
      </c>
      <c r="G1" t="s">
        <v>622</v>
      </c>
      <c r="H1" t="s">
        <v>623</v>
      </c>
      <c r="I1" t="s">
        <v>624</v>
      </c>
      <c r="J1" t="s">
        <v>268</v>
      </c>
      <c r="K1" t="s">
        <v>269</v>
      </c>
      <c r="L1" t="s">
        <v>270</v>
      </c>
      <c r="M1" t="s">
        <v>271</v>
      </c>
      <c r="N1" t="s">
        <v>272</v>
      </c>
      <c r="O1" t="s">
        <v>273</v>
      </c>
      <c r="P1" t="s">
        <v>1</v>
      </c>
      <c r="Q1" t="s">
        <v>274</v>
      </c>
      <c r="R1" t="s">
        <v>275</v>
      </c>
      <c r="S1" t="s">
        <v>135</v>
      </c>
      <c r="T1" t="s">
        <v>276</v>
      </c>
      <c r="U1" t="s">
        <v>277</v>
      </c>
      <c r="V1" t="s">
        <v>278</v>
      </c>
      <c r="W1" t="s">
        <v>279</v>
      </c>
      <c r="X1" t="s">
        <v>280</v>
      </c>
      <c r="Y1" t="s">
        <v>281</v>
      </c>
      <c r="Z1" t="s">
        <v>94</v>
      </c>
      <c r="AA1" t="s">
        <v>282</v>
      </c>
      <c r="AB1" t="s">
        <v>19</v>
      </c>
      <c r="AC1" t="s">
        <v>283</v>
      </c>
      <c r="AD1" t="s">
        <v>284</v>
      </c>
      <c r="AE1" t="s">
        <v>285</v>
      </c>
      <c r="AF1" t="s">
        <v>6</v>
      </c>
      <c r="AG1" t="s">
        <v>21</v>
      </c>
      <c r="AH1" t="s">
        <v>286</v>
      </c>
      <c r="AI1" t="s">
        <v>287</v>
      </c>
      <c r="AJ1" t="s">
        <v>288</v>
      </c>
      <c r="AK1" t="s">
        <v>289</v>
      </c>
      <c r="AL1" t="s">
        <v>290</v>
      </c>
      <c r="AM1" t="s">
        <v>291</v>
      </c>
      <c r="AN1" t="s">
        <v>292</v>
      </c>
      <c r="AO1" t="s">
        <v>293</v>
      </c>
      <c r="AP1" t="s">
        <v>294</v>
      </c>
      <c r="AQ1" t="s">
        <v>295</v>
      </c>
      <c r="AR1" t="s">
        <v>296</v>
      </c>
      <c r="AS1" t="s">
        <v>297</v>
      </c>
      <c r="AT1" t="s">
        <v>298</v>
      </c>
      <c r="AU1" t="s">
        <v>299</v>
      </c>
      <c r="AV1" t="s">
        <v>300</v>
      </c>
      <c r="AW1" t="s">
        <v>301</v>
      </c>
      <c r="AX1" t="s">
        <v>302</v>
      </c>
    </row>
    <row r="2" spans="1:50" x14ac:dyDescent="0.25">
      <c r="A2">
        <v>103</v>
      </c>
      <c r="B2" s="1" t="s">
        <v>199</v>
      </c>
      <c r="C2" s="1" t="s">
        <v>202</v>
      </c>
      <c r="D2" s="1" t="s">
        <v>201</v>
      </c>
      <c r="E2" s="1" t="s">
        <v>303</v>
      </c>
      <c r="F2">
        <v>35</v>
      </c>
      <c r="G2">
        <v>1</v>
      </c>
      <c r="H2">
        <v>20</v>
      </c>
      <c r="I2">
        <v>2026</v>
      </c>
      <c r="J2" s="2">
        <v>46047</v>
      </c>
      <c r="K2" s="4">
        <v>0.41666666666666669</v>
      </c>
      <c r="L2" s="4">
        <v>0.41666666666666669</v>
      </c>
      <c r="M2" s="1" t="s">
        <v>304</v>
      </c>
      <c r="N2" s="1" t="s">
        <v>304</v>
      </c>
      <c r="O2" s="1" t="s">
        <v>305</v>
      </c>
      <c r="P2" s="1" t="s">
        <v>200</v>
      </c>
      <c r="Q2" s="1"/>
      <c r="R2">
        <v>5</v>
      </c>
      <c r="S2">
        <v>2500</v>
      </c>
      <c r="T2">
        <v>12500</v>
      </c>
      <c r="U2">
        <v>1500</v>
      </c>
      <c r="V2">
        <v>0</v>
      </c>
      <c r="W2">
        <v>14000</v>
      </c>
      <c r="X2" s="1"/>
      <c r="Y2">
        <v>0</v>
      </c>
      <c r="Z2" s="1"/>
      <c r="AA2">
        <v>0</v>
      </c>
      <c r="AB2" s="1" t="s">
        <v>92</v>
      </c>
      <c r="AC2" s="1"/>
      <c r="AD2" s="1" t="s">
        <v>306</v>
      </c>
      <c r="AE2" s="1" t="s">
        <v>307</v>
      </c>
      <c r="AF2" s="3">
        <v>46037.4375</v>
      </c>
      <c r="AG2" s="3">
        <v>46070.629305555558</v>
      </c>
      <c r="AH2" s="1" t="s">
        <v>308</v>
      </c>
      <c r="AI2" s="2">
        <v>47118</v>
      </c>
      <c r="AJ2" s="3"/>
      <c r="AK2" s="1"/>
      <c r="AL2" s="1" t="s">
        <v>309</v>
      </c>
      <c r="AM2" s="1" t="s">
        <v>310</v>
      </c>
      <c r="AN2" s="1" t="s">
        <v>34</v>
      </c>
      <c r="AO2" s="3">
        <v>46037.458333333336</v>
      </c>
      <c r="AP2" s="1" t="s">
        <v>311</v>
      </c>
      <c r="AQ2">
        <v>14000</v>
      </c>
      <c r="AR2">
        <v>0</v>
      </c>
      <c r="AS2">
        <v>0</v>
      </c>
      <c r="AT2">
        <v>0</v>
      </c>
      <c r="AU2" s="1" t="s">
        <v>312</v>
      </c>
      <c r="AV2" s="3"/>
      <c r="AW2" s="1" t="s">
        <v>312</v>
      </c>
      <c r="AX2" s="3"/>
    </row>
    <row r="3" spans="1:50" x14ac:dyDescent="0.25">
      <c r="A3">
        <v>104</v>
      </c>
      <c r="B3" s="1" t="s">
        <v>313</v>
      </c>
      <c r="C3" s="1" t="s">
        <v>60</v>
      </c>
      <c r="D3" s="1" t="s">
        <v>61</v>
      </c>
      <c r="E3" s="1" t="s">
        <v>314</v>
      </c>
      <c r="F3">
        <v>28</v>
      </c>
      <c r="G3">
        <v>2</v>
      </c>
      <c r="H3">
        <v>18</v>
      </c>
      <c r="I3">
        <v>2026</v>
      </c>
      <c r="J3" s="2">
        <v>46075</v>
      </c>
      <c r="K3" s="4">
        <v>0.375</v>
      </c>
      <c r="L3" s="4">
        <v>0.375</v>
      </c>
      <c r="M3" s="1" t="s">
        <v>315</v>
      </c>
      <c r="N3" s="1" t="s">
        <v>315</v>
      </c>
      <c r="O3" s="1" t="s">
        <v>161</v>
      </c>
      <c r="P3" s="1" t="s">
        <v>228</v>
      </c>
      <c r="Q3" s="1"/>
      <c r="R3">
        <v>4</v>
      </c>
      <c r="S3">
        <v>3500</v>
      </c>
      <c r="T3">
        <v>14000</v>
      </c>
      <c r="U3">
        <v>1200</v>
      </c>
      <c r="V3">
        <v>0</v>
      </c>
      <c r="W3">
        <v>15200</v>
      </c>
      <c r="X3" s="1"/>
      <c r="Y3">
        <v>0</v>
      </c>
      <c r="Z3" s="1"/>
      <c r="AA3">
        <v>0</v>
      </c>
      <c r="AB3" s="1" t="s">
        <v>30</v>
      </c>
      <c r="AC3" s="1"/>
      <c r="AD3" s="1" t="s">
        <v>316</v>
      </c>
      <c r="AE3" s="1" t="s">
        <v>307</v>
      </c>
      <c r="AF3" s="3">
        <v>46038.458333333336</v>
      </c>
      <c r="AG3" s="3">
        <v>46070.629305555558</v>
      </c>
      <c r="AH3" s="1" t="s">
        <v>317</v>
      </c>
      <c r="AI3" s="2">
        <v>47299</v>
      </c>
      <c r="AJ3" s="3"/>
      <c r="AK3" s="1"/>
      <c r="AL3" s="1" t="s">
        <v>318</v>
      </c>
      <c r="AM3" s="1" t="s">
        <v>319</v>
      </c>
      <c r="AN3" s="1" t="s">
        <v>34</v>
      </c>
      <c r="AO3" s="3">
        <v>46038.5</v>
      </c>
      <c r="AP3" s="1" t="s">
        <v>320</v>
      </c>
      <c r="AQ3">
        <v>7600</v>
      </c>
      <c r="AR3">
        <v>7600</v>
      </c>
      <c r="AS3">
        <v>0</v>
      </c>
      <c r="AT3">
        <v>0</v>
      </c>
      <c r="AU3" s="1" t="s">
        <v>312</v>
      </c>
      <c r="AV3" s="3"/>
      <c r="AW3" s="1" t="s">
        <v>312</v>
      </c>
      <c r="AX3" s="3"/>
    </row>
    <row r="4" spans="1:50" x14ac:dyDescent="0.25">
      <c r="A4">
        <v>105</v>
      </c>
      <c r="B4" s="1" t="s">
        <v>321</v>
      </c>
      <c r="C4" s="1" t="s">
        <v>322</v>
      </c>
      <c r="D4" s="1" t="s">
        <v>323</v>
      </c>
      <c r="E4" s="1" t="s">
        <v>324</v>
      </c>
      <c r="F4">
        <v>42</v>
      </c>
      <c r="G4">
        <v>2</v>
      </c>
      <c r="H4">
        <v>20</v>
      </c>
      <c r="I4">
        <v>2026</v>
      </c>
      <c r="J4" s="2">
        <v>46076</v>
      </c>
      <c r="K4" s="4">
        <v>0.58333333333333337</v>
      </c>
      <c r="L4" s="4">
        <v>0.58333333333333337</v>
      </c>
      <c r="M4" s="1" t="s">
        <v>325</v>
      </c>
      <c r="N4" s="1" t="s">
        <v>325</v>
      </c>
      <c r="O4" s="1" t="s">
        <v>165</v>
      </c>
      <c r="P4" s="1" t="s">
        <v>241</v>
      </c>
      <c r="Q4" s="1"/>
      <c r="R4">
        <v>3</v>
      </c>
      <c r="S4">
        <v>5000</v>
      </c>
      <c r="T4">
        <v>15000</v>
      </c>
      <c r="U4">
        <v>2700</v>
      </c>
      <c r="V4">
        <v>0</v>
      </c>
      <c r="W4">
        <v>17700</v>
      </c>
      <c r="X4" s="1"/>
      <c r="Y4">
        <v>0</v>
      </c>
      <c r="Z4" s="1"/>
      <c r="AA4">
        <v>0</v>
      </c>
      <c r="AB4" s="1" t="s">
        <v>326</v>
      </c>
      <c r="AC4" s="1"/>
      <c r="AD4" s="1" t="s">
        <v>327</v>
      </c>
      <c r="AE4" s="1" t="s">
        <v>307</v>
      </c>
      <c r="AF4" s="3">
        <v>46039.385416666664</v>
      </c>
      <c r="AG4" s="3">
        <v>46070.630358796298</v>
      </c>
      <c r="AH4" s="1" t="s">
        <v>328</v>
      </c>
      <c r="AI4" s="2">
        <v>46706</v>
      </c>
      <c r="AJ4" s="3"/>
      <c r="AK4" s="1"/>
      <c r="AL4" s="1" t="s">
        <v>329</v>
      </c>
      <c r="AM4" s="1" t="s">
        <v>330</v>
      </c>
      <c r="AN4" s="1" t="s">
        <v>34</v>
      </c>
      <c r="AO4" s="3">
        <v>46039.416666666664</v>
      </c>
      <c r="AP4" s="1" t="s">
        <v>311</v>
      </c>
      <c r="AQ4">
        <v>17700</v>
      </c>
      <c r="AR4">
        <v>0</v>
      </c>
      <c r="AS4">
        <v>0</v>
      </c>
      <c r="AT4">
        <v>0</v>
      </c>
      <c r="AU4" s="1" t="s">
        <v>312</v>
      </c>
      <c r="AV4" s="3"/>
      <c r="AW4" s="1" t="s">
        <v>312</v>
      </c>
      <c r="AX4" s="3"/>
    </row>
    <row r="5" spans="1:50" x14ac:dyDescent="0.25">
      <c r="A5">
        <v>106</v>
      </c>
      <c r="B5" s="1" t="s">
        <v>205</v>
      </c>
      <c r="C5" s="1" t="s">
        <v>208</v>
      </c>
      <c r="D5" s="1" t="s">
        <v>207</v>
      </c>
      <c r="E5" s="1" t="s">
        <v>331</v>
      </c>
      <c r="F5">
        <v>31</v>
      </c>
      <c r="G5">
        <v>1</v>
      </c>
      <c r="H5">
        <v>22</v>
      </c>
      <c r="I5">
        <v>2026</v>
      </c>
      <c r="J5" s="2">
        <v>46049</v>
      </c>
      <c r="K5" s="4">
        <v>0.45833333333333331</v>
      </c>
      <c r="L5" s="4">
        <v>0.45833333333333331</v>
      </c>
      <c r="M5" s="1" t="s">
        <v>332</v>
      </c>
      <c r="N5" s="1" t="s">
        <v>332</v>
      </c>
      <c r="O5" s="1" t="s">
        <v>157</v>
      </c>
      <c r="P5" s="1" t="s">
        <v>206</v>
      </c>
      <c r="Q5" s="1"/>
      <c r="R5">
        <v>5</v>
      </c>
      <c r="S5">
        <v>1800</v>
      </c>
      <c r="T5">
        <v>9000</v>
      </c>
      <c r="U5">
        <v>1500</v>
      </c>
      <c r="V5">
        <v>0</v>
      </c>
      <c r="W5">
        <v>10500</v>
      </c>
      <c r="X5" s="1"/>
      <c r="Y5">
        <v>0</v>
      </c>
      <c r="Z5" s="1"/>
      <c r="AA5">
        <v>0</v>
      </c>
      <c r="AB5" s="1" t="s">
        <v>92</v>
      </c>
      <c r="AC5" s="1"/>
      <c r="AD5" s="1" t="s">
        <v>306</v>
      </c>
      <c r="AE5" s="1" t="s">
        <v>307</v>
      </c>
      <c r="AF5" s="3">
        <v>46040.597222222219</v>
      </c>
      <c r="AG5" s="3">
        <v>46070.629305555558</v>
      </c>
      <c r="AH5" s="1" t="s">
        <v>333</v>
      </c>
      <c r="AI5" s="2">
        <v>46985</v>
      </c>
      <c r="AJ5" s="3"/>
      <c r="AK5" s="1"/>
      <c r="AL5" s="1" t="s">
        <v>334</v>
      </c>
      <c r="AM5" s="1" t="s">
        <v>335</v>
      </c>
      <c r="AN5" s="1" t="s">
        <v>34</v>
      </c>
      <c r="AO5" s="3">
        <v>46040.625</v>
      </c>
      <c r="AP5" s="1" t="s">
        <v>320</v>
      </c>
      <c r="AQ5">
        <v>10500</v>
      </c>
      <c r="AR5">
        <v>0</v>
      </c>
      <c r="AS5">
        <v>0</v>
      </c>
      <c r="AT5">
        <v>0</v>
      </c>
      <c r="AU5" s="1" t="s">
        <v>312</v>
      </c>
      <c r="AV5" s="3"/>
      <c r="AW5" s="1" t="s">
        <v>312</v>
      </c>
      <c r="AX5" s="3"/>
    </row>
    <row r="6" spans="1:50" x14ac:dyDescent="0.25">
      <c r="A6">
        <v>107</v>
      </c>
      <c r="B6" s="1" t="s">
        <v>336</v>
      </c>
      <c r="C6" s="1" t="s">
        <v>337</v>
      </c>
      <c r="D6" s="1" t="s">
        <v>338</v>
      </c>
      <c r="E6" s="1" t="s">
        <v>339</v>
      </c>
      <c r="F6">
        <v>38</v>
      </c>
      <c r="G6">
        <v>2</v>
      </c>
      <c r="H6">
        <v>19</v>
      </c>
      <c r="I6">
        <v>2026</v>
      </c>
      <c r="J6" s="2">
        <v>46077</v>
      </c>
      <c r="K6" s="4">
        <v>0.33333333333333331</v>
      </c>
      <c r="L6" s="4">
        <v>0.33333333333333331</v>
      </c>
      <c r="M6" s="1" t="s">
        <v>340</v>
      </c>
      <c r="N6" s="1" t="s">
        <v>340</v>
      </c>
      <c r="O6" s="1" t="s">
        <v>341</v>
      </c>
      <c r="P6" s="1" t="s">
        <v>237</v>
      </c>
      <c r="Q6" s="1"/>
      <c r="R6">
        <v>5</v>
      </c>
      <c r="S6">
        <v>4000</v>
      </c>
      <c r="T6">
        <v>20000</v>
      </c>
      <c r="U6">
        <v>1500</v>
      </c>
      <c r="V6">
        <v>0</v>
      </c>
      <c r="W6">
        <v>21500</v>
      </c>
      <c r="X6" s="1"/>
      <c r="Y6">
        <v>0</v>
      </c>
      <c r="Z6" s="1"/>
      <c r="AA6">
        <v>0</v>
      </c>
      <c r="AB6" s="1" t="s">
        <v>30</v>
      </c>
      <c r="AC6" s="1"/>
      <c r="AD6" s="1" t="s">
        <v>342</v>
      </c>
      <c r="AE6" s="1" t="s">
        <v>307</v>
      </c>
      <c r="AF6" s="3">
        <v>46041.364583333336</v>
      </c>
      <c r="AG6" s="3">
        <v>46070.629305555558</v>
      </c>
      <c r="AH6" s="1" t="s">
        <v>343</v>
      </c>
      <c r="AI6" s="2">
        <v>47187</v>
      </c>
      <c r="AJ6" s="3"/>
      <c r="AK6" s="1"/>
      <c r="AL6" s="1" t="s">
        <v>344</v>
      </c>
      <c r="AM6" s="1" t="s">
        <v>345</v>
      </c>
      <c r="AN6" s="1" t="s">
        <v>34</v>
      </c>
      <c r="AO6" s="3">
        <v>46041.395833333336</v>
      </c>
      <c r="AP6" s="1" t="s">
        <v>311</v>
      </c>
      <c r="AQ6">
        <v>21500</v>
      </c>
      <c r="AR6">
        <v>0</v>
      </c>
      <c r="AS6">
        <v>0</v>
      </c>
      <c r="AT6">
        <v>0</v>
      </c>
      <c r="AU6" s="1" t="s">
        <v>312</v>
      </c>
      <c r="AV6" s="3"/>
      <c r="AW6" s="1" t="s">
        <v>312</v>
      </c>
      <c r="AX6" s="3"/>
    </row>
    <row r="7" spans="1:50" x14ac:dyDescent="0.25">
      <c r="A7">
        <v>108</v>
      </c>
      <c r="B7" s="1" t="s">
        <v>346</v>
      </c>
      <c r="C7" s="1" t="s">
        <v>347</v>
      </c>
      <c r="D7" s="1" t="s">
        <v>348</v>
      </c>
      <c r="E7" s="1" t="s">
        <v>349</v>
      </c>
      <c r="F7">
        <v>29</v>
      </c>
      <c r="G7">
        <v>2</v>
      </c>
      <c r="H7">
        <v>21</v>
      </c>
      <c r="I7">
        <v>2026</v>
      </c>
      <c r="J7" s="2">
        <v>46078</v>
      </c>
      <c r="K7" s="4">
        <v>0.54166666666666663</v>
      </c>
      <c r="L7" s="4">
        <v>0.54166666666666663</v>
      </c>
      <c r="M7" s="1" t="s">
        <v>350</v>
      </c>
      <c r="N7" s="1" t="s">
        <v>350</v>
      </c>
      <c r="O7" s="1" t="s">
        <v>169</v>
      </c>
      <c r="P7" s="1" t="s">
        <v>168</v>
      </c>
      <c r="Q7" s="1"/>
      <c r="R7">
        <v>4</v>
      </c>
      <c r="S7">
        <v>3800</v>
      </c>
      <c r="T7">
        <v>15200</v>
      </c>
      <c r="U7">
        <v>1200</v>
      </c>
      <c r="V7">
        <v>0</v>
      </c>
      <c r="W7">
        <v>16400</v>
      </c>
      <c r="X7" s="1"/>
      <c r="Y7">
        <v>0</v>
      </c>
      <c r="Z7" s="1"/>
      <c r="AA7">
        <v>0</v>
      </c>
      <c r="AB7" s="1" t="s">
        <v>326</v>
      </c>
      <c r="AC7" s="1"/>
      <c r="AD7" s="1" t="s">
        <v>316</v>
      </c>
      <c r="AE7" s="1" t="s">
        <v>307</v>
      </c>
      <c r="AF7" s="3">
        <v>46042.5625</v>
      </c>
      <c r="AG7" s="3">
        <v>46070.630335648151</v>
      </c>
      <c r="AH7" s="1" t="s">
        <v>351</v>
      </c>
      <c r="AI7" s="2">
        <v>46898</v>
      </c>
      <c r="AJ7" s="3"/>
      <c r="AK7" s="1"/>
      <c r="AL7" s="1" t="s">
        <v>352</v>
      </c>
      <c r="AM7" s="1" t="s">
        <v>353</v>
      </c>
      <c r="AN7" s="1" t="s">
        <v>34</v>
      </c>
      <c r="AO7" s="3">
        <v>46042.583333333336</v>
      </c>
      <c r="AP7" s="1" t="s">
        <v>320</v>
      </c>
      <c r="AQ7">
        <v>8200</v>
      </c>
      <c r="AR7">
        <v>8200</v>
      </c>
      <c r="AS7">
        <v>0</v>
      </c>
      <c r="AT7">
        <v>0</v>
      </c>
      <c r="AU7" s="1" t="s">
        <v>312</v>
      </c>
      <c r="AV7" s="3"/>
      <c r="AW7" s="1" t="s">
        <v>312</v>
      </c>
      <c r="AX7" s="3"/>
    </row>
    <row r="8" spans="1:50" x14ac:dyDescent="0.25">
      <c r="A8">
        <v>109</v>
      </c>
      <c r="B8" s="1" t="s">
        <v>210</v>
      </c>
      <c r="C8" s="1" t="s">
        <v>213</v>
      </c>
      <c r="D8" s="1" t="s">
        <v>212</v>
      </c>
      <c r="E8" s="1" t="s">
        <v>354</v>
      </c>
      <c r="F8">
        <v>45</v>
      </c>
      <c r="G8">
        <v>1</v>
      </c>
      <c r="H8">
        <v>25</v>
      </c>
      <c r="I8">
        <v>2026</v>
      </c>
      <c r="J8" s="2">
        <v>46050</v>
      </c>
      <c r="K8" s="4">
        <v>0.4375</v>
      </c>
      <c r="L8" s="4">
        <v>0.4375</v>
      </c>
      <c r="M8" s="1" t="s">
        <v>355</v>
      </c>
      <c r="N8" s="1" t="s">
        <v>355</v>
      </c>
      <c r="O8" s="1" t="s">
        <v>305</v>
      </c>
      <c r="P8" s="1" t="s">
        <v>211</v>
      </c>
      <c r="Q8" s="1"/>
      <c r="R8">
        <v>3</v>
      </c>
      <c r="S8">
        <v>2800</v>
      </c>
      <c r="T8">
        <v>8400</v>
      </c>
      <c r="U8">
        <v>900</v>
      </c>
      <c r="V8">
        <v>0</v>
      </c>
      <c r="W8">
        <v>9300</v>
      </c>
      <c r="X8" s="1"/>
      <c r="Y8">
        <v>0</v>
      </c>
      <c r="Z8" s="1"/>
      <c r="AA8">
        <v>0</v>
      </c>
      <c r="AB8" s="1" t="s">
        <v>92</v>
      </c>
      <c r="AC8" s="1"/>
      <c r="AD8" s="1" t="s">
        <v>306</v>
      </c>
      <c r="AE8" s="1" t="s">
        <v>307</v>
      </c>
      <c r="AF8" s="3">
        <v>46043.416666666664</v>
      </c>
      <c r="AG8" s="3">
        <v>46070.629305555558</v>
      </c>
      <c r="AH8" s="1" t="s">
        <v>356</v>
      </c>
      <c r="AI8" s="2">
        <v>46752</v>
      </c>
      <c r="AJ8" s="3"/>
      <c r="AK8" s="1"/>
      <c r="AL8" s="1" t="s">
        <v>357</v>
      </c>
      <c r="AM8" s="1" t="s">
        <v>358</v>
      </c>
      <c r="AN8" s="1" t="s">
        <v>34</v>
      </c>
      <c r="AO8" s="3">
        <v>46043.458333333336</v>
      </c>
      <c r="AP8" s="1" t="s">
        <v>311</v>
      </c>
      <c r="AQ8">
        <v>9300</v>
      </c>
      <c r="AR8">
        <v>0</v>
      </c>
      <c r="AS8">
        <v>0</v>
      </c>
      <c r="AT8">
        <v>0</v>
      </c>
      <c r="AU8" s="1" t="s">
        <v>312</v>
      </c>
      <c r="AV8" s="3"/>
      <c r="AW8" s="1" t="s">
        <v>312</v>
      </c>
      <c r="AX8" s="3"/>
    </row>
    <row r="9" spans="1:50" x14ac:dyDescent="0.25">
      <c r="A9">
        <v>110</v>
      </c>
      <c r="B9" s="1" t="s">
        <v>359</v>
      </c>
      <c r="C9" s="1" t="s">
        <v>360</v>
      </c>
      <c r="D9" s="1" t="s">
        <v>361</v>
      </c>
      <c r="E9" s="1" t="s">
        <v>362</v>
      </c>
      <c r="F9">
        <v>33</v>
      </c>
      <c r="G9">
        <v>2</v>
      </c>
      <c r="H9">
        <v>22</v>
      </c>
      <c r="I9">
        <v>2026</v>
      </c>
      <c r="J9" s="2">
        <v>46079</v>
      </c>
      <c r="K9" s="4">
        <v>0.625</v>
      </c>
      <c r="L9" s="4">
        <v>0.625</v>
      </c>
      <c r="M9" s="1" t="s">
        <v>363</v>
      </c>
      <c r="N9" s="1" t="s">
        <v>363</v>
      </c>
      <c r="O9" s="1" t="s">
        <v>161</v>
      </c>
      <c r="P9" s="1" t="s">
        <v>250</v>
      </c>
      <c r="Q9" s="1"/>
      <c r="R9">
        <v>4</v>
      </c>
      <c r="S9">
        <v>3600</v>
      </c>
      <c r="T9">
        <v>14400</v>
      </c>
      <c r="U9">
        <v>1200</v>
      </c>
      <c r="V9">
        <v>0</v>
      </c>
      <c r="W9">
        <v>15600</v>
      </c>
      <c r="X9" s="1"/>
      <c r="Y9">
        <v>0</v>
      </c>
      <c r="Z9" s="1"/>
      <c r="AA9">
        <v>0</v>
      </c>
      <c r="AB9" s="1" t="s">
        <v>30</v>
      </c>
      <c r="AC9" s="1"/>
      <c r="AD9" s="1" t="s">
        <v>327</v>
      </c>
      <c r="AE9" s="1" t="s">
        <v>307</v>
      </c>
      <c r="AF9" s="3">
        <v>46044.65625</v>
      </c>
      <c r="AG9" s="3">
        <v>46070.629305555558</v>
      </c>
      <c r="AH9" s="1" t="s">
        <v>364</v>
      </c>
      <c r="AI9" s="2">
        <v>47314</v>
      </c>
      <c r="AJ9" s="3"/>
      <c r="AK9" s="1"/>
      <c r="AL9" s="1" t="s">
        <v>365</v>
      </c>
      <c r="AM9" s="1" t="s">
        <v>366</v>
      </c>
      <c r="AN9" s="1" t="s">
        <v>34</v>
      </c>
      <c r="AO9" s="3">
        <v>46044.666666666664</v>
      </c>
      <c r="AP9" s="1" t="s">
        <v>320</v>
      </c>
      <c r="AQ9">
        <v>7800</v>
      </c>
      <c r="AR9">
        <v>7800</v>
      </c>
      <c r="AS9">
        <v>0</v>
      </c>
      <c r="AT9">
        <v>0</v>
      </c>
      <c r="AU9" s="1" t="s">
        <v>312</v>
      </c>
      <c r="AV9" s="3"/>
      <c r="AW9" s="1" t="s">
        <v>312</v>
      </c>
      <c r="AX9" s="3"/>
    </row>
    <row r="10" spans="1:50" x14ac:dyDescent="0.25">
      <c r="A10">
        <v>111</v>
      </c>
      <c r="B10" s="1" t="s">
        <v>367</v>
      </c>
      <c r="C10" s="1" t="s">
        <v>368</v>
      </c>
      <c r="D10" s="1" t="s">
        <v>369</v>
      </c>
      <c r="E10" s="1" t="s">
        <v>370</v>
      </c>
      <c r="F10">
        <v>40</v>
      </c>
      <c r="G10">
        <v>2</v>
      </c>
      <c r="H10">
        <v>23</v>
      </c>
      <c r="I10">
        <v>2026</v>
      </c>
      <c r="J10" s="2">
        <v>46080</v>
      </c>
      <c r="K10" s="4">
        <v>0.39583333333333331</v>
      </c>
      <c r="L10" s="4">
        <v>0.39583333333333331</v>
      </c>
      <c r="M10" s="1" t="s">
        <v>371</v>
      </c>
      <c r="N10" s="1" t="s">
        <v>371</v>
      </c>
      <c r="O10" s="1" t="s">
        <v>165</v>
      </c>
      <c r="P10" s="1" t="s">
        <v>263</v>
      </c>
      <c r="Q10" s="1"/>
      <c r="R10">
        <v>4</v>
      </c>
      <c r="S10">
        <v>5500</v>
      </c>
      <c r="T10">
        <v>22000</v>
      </c>
      <c r="U10">
        <v>2400</v>
      </c>
      <c r="V10">
        <v>0</v>
      </c>
      <c r="W10">
        <v>24400</v>
      </c>
      <c r="X10" s="1"/>
      <c r="Y10">
        <v>0</v>
      </c>
      <c r="Z10" s="1"/>
      <c r="AA10">
        <v>0</v>
      </c>
      <c r="AB10" s="1" t="s">
        <v>326</v>
      </c>
      <c r="AC10" s="1"/>
      <c r="AD10" s="1" t="s">
        <v>316</v>
      </c>
      <c r="AE10" s="1" t="s">
        <v>307</v>
      </c>
      <c r="AF10" s="3">
        <v>46045.395833333336</v>
      </c>
      <c r="AG10" s="3">
        <v>46070.630312499998</v>
      </c>
      <c r="AH10" s="1" t="s">
        <v>372</v>
      </c>
      <c r="AI10" s="2">
        <v>47046</v>
      </c>
      <c r="AJ10" s="3"/>
      <c r="AK10" s="1"/>
      <c r="AL10" s="1" t="s">
        <v>373</v>
      </c>
      <c r="AM10" s="1" t="s">
        <v>374</v>
      </c>
      <c r="AN10" s="1" t="s">
        <v>34</v>
      </c>
      <c r="AO10" s="3">
        <v>46045.416666666664</v>
      </c>
      <c r="AP10" s="1" t="s">
        <v>311</v>
      </c>
      <c r="AQ10">
        <v>24400</v>
      </c>
      <c r="AR10">
        <v>0</v>
      </c>
      <c r="AS10">
        <v>0</v>
      </c>
      <c r="AT10">
        <v>0</v>
      </c>
      <c r="AU10" s="1" t="s">
        <v>312</v>
      </c>
      <c r="AV10" s="3"/>
      <c r="AW10" s="1" t="s">
        <v>312</v>
      </c>
      <c r="AX10" s="3"/>
    </row>
    <row r="11" spans="1:50" x14ac:dyDescent="0.25">
      <c r="A11">
        <v>112</v>
      </c>
      <c r="B11" s="1" t="s">
        <v>215</v>
      </c>
      <c r="C11" s="1" t="s">
        <v>217</v>
      </c>
      <c r="D11" s="1" t="s">
        <v>216</v>
      </c>
      <c r="E11" s="1" t="s">
        <v>375</v>
      </c>
      <c r="F11">
        <v>27</v>
      </c>
      <c r="G11">
        <v>1</v>
      </c>
      <c r="H11">
        <v>28</v>
      </c>
      <c r="I11">
        <v>2026</v>
      </c>
      <c r="J11" s="2">
        <v>46055</v>
      </c>
      <c r="K11" s="4">
        <v>0.5</v>
      </c>
      <c r="L11" s="4">
        <v>0.5</v>
      </c>
      <c r="M11" s="1" t="s">
        <v>376</v>
      </c>
      <c r="N11" s="1" t="s">
        <v>376</v>
      </c>
      <c r="O11" s="1" t="s">
        <v>157</v>
      </c>
      <c r="P11" s="1" t="s">
        <v>180</v>
      </c>
      <c r="Q11" s="1"/>
      <c r="R11">
        <v>5</v>
      </c>
      <c r="S11">
        <v>2200</v>
      </c>
      <c r="T11">
        <v>11000</v>
      </c>
      <c r="U11">
        <v>1500</v>
      </c>
      <c r="V11">
        <v>0</v>
      </c>
      <c r="W11">
        <v>12500</v>
      </c>
      <c r="X11" s="1"/>
      <c r="Y11">
        <v>0</v>
      </c>
      <c r="Z11" s="1"/>
      <c r="AA11">
        <v>0</v>
      </c>
      <c r="AB11" s="1" t="s">
        <v>92</v>
      </c>
      <c r="AC11" s="1"/>
      <c r="AD11" s="1" t="s">
        <v>306</v>
      </c>
      <c r="AE11" s="1" t="s">
        <v>307</v>
      </c>
      <c r="AF11" s="3">
        <v>46046.46875</v>
      </c>
      <c r="AG11" s="3">
        <v>46070.629305555558</v>
      </c>
      <c r="AH11" s="1" t="s">
        <v>377</v>
      </c>
      <c r="AI11" s="2">
        <v>47238</v>
      </c>
      <c r="AJ11" s="3"/>
      <c r="AK11" s="1"/>
      <c r="AL11" s="1" t="s">
        <v>378</v>
      </c>
      <c r="AM11" s="1" t="s">
        <v>379</v>
      </c>
      <c r="AN11" s="1" t="s">
        <v>34</v>
      </c>
      <c r="AO11" s="3">
        <v>46046.5</v>
      </c>
      <c r="AP11" s="1" t="s">
        <v>320</v>
      </c>
      <c r="AQ11">
        <v>12500</v>
      </c>
      <c r="AR11">
        <v>0</v>
      </c>
      <c r="AS11">
        <v>0</v>
      </c>
      <c r="AT11">
        <v>0</v>
      </c>
      <c r="AU11" s="1" t="s">
        <v>312</v>
      </c>
      <c r="AV11" s="3"/>
      <c r="AW11" s="1" t="s">
        <v>312</v>
      </c>
      <c r="AX11" s="3"/>
    </row>
    <row r="12" spans="1:50" x14ac:dyDescent="0.25">
      <c r="A12">
        <v>113</v>
      </c>
      <c r="B12" s="1" t="s">
        <v>380</v>
      </c>
      <c r="C12" s="1" t="s">
        <v>381</v>
      </c>
      <c r="D12" s="1" t="s">
        <v>382</v>
      </c>
      <c r="E12" s="1" t="s">
        <v>383</v>
      </c>
      <c r="F12">
        <v>36</v>
      </c>
      <c r="G12">
        <v>2</v>
      </c>
      <c r="H12">
        <v>24</v>
      </c>
      <c r="I12">
        <v>2026</v>
      </c>
      <c r="J12" s="2">
        <v>46081</v>
      </c>
      <c r="K12" s="4">
        <v>0.60416666666666663</v>
      </c>
      <c r="L12" s="4">
        <v>0.60416666666666663</v>
      </c>
      <c r="M12" s="1" t="s">
        <v>384</v>
      </c>
      <c r="N12" s="1" t="s">
        <v>384</v>
      </c>
      <c r="O12" s="1" t="s">
        <v>341</v>
      </c>
      <c r="P12" s="1" t="s">
        <v>258</v>
      </c>
      <c r="Q12" s="1"/>
      <c r="R12">
        <v>4</v>
      </c>
      <c r="S12">
        <v>3800</v>
      </c>
      <c r="T12">
        <v>15200</v>
      </c>
      <c r="U12">
        <v>1200</v>
      </c>
      <c r="V12">
        <v>0</v>
      </c>
      <c r="W12">
        <v>16400</v>
      </c>
      <c r="X12" s="1"/>
      <c r="Y12">
        <v>0</v>
      </c>
      <c r="Z12" s="1"/>
      <c r="AA12">
        <v>0</v>
      </c>
      <c r="AB12" s="1" t="s">
        <v>30</v>
      </c>
      <c r="AC12" s="1"/>
      <c r="AD12" s="1" t="s">
        <v>342</v>
      </c>
      <c r="AE12" s="1" t="s">
        <v>307</v>
      </c>
      <c r="AF12" s="3">
        <v>46047.583333333336</v>
      </c>
      <c r="AG12" s="3">
        <v>46070.629305555558</v>
      </c>
      <c r="AH12" s="1" t="s">
        <v>385</v>
      </c>
      <c r="AI12" s="2">
        <v>47011</v>
      </c>
      <c r="AJ12" s="3"/>
      <c r="AK12" s="1"/>
      <c r="AL12" s="1" t="s">
        <v>386</v>
      </c>
      <c r="AM12" s="1" t="s">
        <v>387</v>
      </c>
      <c r="AN12" s="1" t="s">
        <v>34</v>
      </c>
      <c r="AO12" s="3">
        <v>46047.625</v>
      </c>
      <c r="AP12" s="1" t="s">
        <v>311</v>
      </c>
      <c r="AQ12">
        <v>16400</v>
      </c>
      <c r="AR12">
        <v>0</v>
      </c>
      <c r="AS12">
        <v>0</v>
      </c>
      <c r="AT12">
        <v>0</v>
      </c>
      <c r="AU12" s="1" t="s">
        <v>312</v>
      </c>
      <c r="AV12" s="3"/>
      <c r="AW12" s="1" t="s">
        <v>312</v>
      </c>
      <c r="AX12" s="3"/>
    </row>
    <row r="13" spans="1:50" x14ac:dyDescent="0.25">
      <c r="A13">
        <v>114</v>
      </c>
      <c r="B13" s="1" t="s">
        <v>388</v>
      </c>
      <c r="C13" s="1" t="s">
        <v>389</v>
      </c>
      <c r="D13" s="1" t="s">
        <v>390</v>
      </c>
      <c r="E13" s="1" t="s">
        <v>391</v>
      </c>
      <c r="F13">
        <v>32</v>
      </c>
      <c r="G13">
        <v>2</v>
      </c>
      <c r="H13">
        <v>25</v>
      </c>
      <c r="I13">
        <v>2026</v>
      </c>
      <c r="J13" s="2">
        <v>46082</v>
      </c>
      <c r="K13" s="4">
        <v>0.45833333333333331</v>
      </c>
      <c r="L13" s="4">
        <v>0.45833333333333331</v>
      </c>
      <c r="M13" s="1" t="s">
        <v>392</v>
      </c>
      <c r="N13" s="1" t="s">
        <v>392</v>
      </c>
      <c r="O13" s="1" t="s">
        <v>305</v>
      </c>
      <c r="P13" s="1" t="s">
        <v>393</v>
      </c>
      <c r="Q13" s="1"/>
      <c r="R13">
        <v>4</v>
      </c>
      <c r="S13">
        <v>2400</v>
      </c>
      <c r="T13">
        <v>9600</v>
      </c>
      <c r="U13">
        <v>1200</v>
      </c>
      <c r="V13">
        <v>0</v>
      </c>
      <c r="W13">
        <v>10800</v>
      </c>
      <c r="X13" s="1"/>
      <c r="Y13">
        <v>0</v>
      </c>
      <c r="Z13" s="1"/>
      <c r="AA13">
        <v>0</v>
      </c>
      <c r="AB13" s="1" t="s">
        <v>326</v>
      </c>
      <c r="AC13" s="1"/>
      <c r="AD13" s="1" t="s">
        <v>316</v>
      </c>
      <c r="AE13" s="1" t="s">
        <v>307</v>
      </c>
      <c r="AF13" s="3">
        <v>46048.447916666664</v>
      </c>
      <c r="AG13" s="3">
        <v>46070.630277777775</v>
      </c>
      <c r="AH13" s="1" t="s">
        <v>394</v>
      </c>
      <c r="AI13" s="2">
        <v>47138</v>
      </c>
      <c r="AJ13" s="3"/>
      <c r="AK13" s="1"/>
      <c r="AL13" s="1" t="s">
        <v>395</v>
      </c>
      <c r="AM13" s="1" t="s">
        <v>396</v>
      </c>
      <c r="AN13" s="1" t="s">
        <v>34</v>
      </c>
      <c r="AO13" s="3">
        <v>46048.479166666664</v>
      </c>
      <c r="AP13" s="1" t="s">
        <v>320</v>
      </c>
      <c r="AQ13">
        <v>5400</v>
      </c>
      <c r="AR13">
        <v>5400</v>
      </c>
      <c r="AS13">
        <v>0</v>
      </c>
      <c r="AT13">
        <v>0</v>
      </c>
      <c r="AU13" s="1" t="s">
        <v>312</v>
      </c>
      <c r="AV13" s="3"/>
      <c r="AW13" s="1" t="s">
        <v>312</v>
      </c>
      <c r="AX13" s="3"/>
    </row>
    <row r="14" spans="1:50" x14ac:dyDescent="0.25">
      <c r="A14">
        <v>115</v>
      </c>
      <c r="B14" s="1" t="s">
        <v>219</v>
      </c>
      <c r="C14" s="1" t="s">
        <v>222</v>
      </c>
      <c r="D14" s="1" t="s">
        <v>221</v>
      </c>
      <c r="E14" s="1" t="s">
        <v>397</v>
      </c>
      <c r="F14">
        <v>41</v>
      </c>
      <c r="G14">
        <v>1</v>
      </c>
      <c r="H14">
        <v>30</v>
      </c>
      <c r="I14">
        <v>2026</v>
      </c>
      <c r="J14" s="2">
        <v>46056</v>
      </c>
      <c r="K14" s="4">
        <v>0.57291666666666663</v>
      </c>
      <c r="L14" s="4">
        <v>0.57291666666666663</v>
      </c>
      <c r="M14" s="1" t="s">
        <v>398</v>
      </c>
      <c r="N14" s="1" t="s">
        <v>398</v>
      </c>
      <c r="O14" s="1" t="s">
        <v>161</v>
      </c>
      <c r="P14" s="1" t="s">
        <v>220</v>
      </c>
      <c r="Q14" s="1"/>
      <c r="R14">
        <v>4</v>
      </c>
      <c r="S14">
        <v>3700</v>
      </c>
      <c r="T14">
        <v>14800</v>
      </c>
      <c r="U14">
        <v>1200</v>
      </c>
      <c r="V14">
        <v>0</v>
      </c>
      <c r="W14">
        <v>16000</v>
      </c>
      <c r="X14" s="1"/>
      <c r="Y14">
        <v>0</v>
      </c>
      <c r="Z14" s="1"/>
      <c r="AA14">
        <v>0</v>
      </c>
      <c r="AB14" s="1" t="s">
        <v>92</v>
      </c>
      <c r="AC14" s="1"/>
      <c r="AD14" s="1" t="s">
        <v>327</v>
      </c>
      <c r="AE14" s="1" t="s">
        <v>307</v>
      </c>
      <c r="AF14" s="3">
        <v>46049.555555555555</v>
      </c>
      <c r="AG14" s="3">
        <v>46070.629305555558</v>
      </c>
      <c r="AH14" s="1" t="s">
        <v>399</v>
      </c>
      <c r="AI14" s="2">
        <v>46691</v>
      </c>
      <c r="AJ14" s="3"/>
      <c r="AK14" s="1"/>
      <c r="AL14" s="1" t="s">
        <v>400</v>
      </c>
      <c r="AM14" s="1" t="s">
        <v>401</v>
      </c>
      <c r="AN14" s="1" t="s">
        <v>34</v>
      </c>
      <c r="AO14" s="3">
        <v>46049.583333333336</v>
      </c>
      <c r="AP14" s="1" t="s">
        <v>311</v>
      </c>
      <c r="AQ14">
        <v>16000</v>
      </c>
      <c r="AR14">
        <v>0</v>
      </c>
      <c r="AS14">
        <v>0</v>
      </c>
      <c r="AT14">
        <v>0</v>
      </c>
      <c r="AU14" s="1" t="s">
        <v>312</v>
      </c>
      <c r="AV14" s="3"/>
      <c r="AW14" s="1" t="s">
        <v>312</v>
      </c>
      <c r="AX14" s="3"/>
    </row>
    <row r="15" spans="1:50" x14ac:dyDescent="0.25">
      <c r="A15">
        <v>116</v>
      </c>
      <c r="B15" s="1" t="s">
        <v>402</v>
      </c>
      <c r="C15" s="1" t="s">
        <v>403</v>
      </c>
      <c r="D15" s="1" t="s">
        <v>404</v>
      </c>
      <c r="E15" s="1" t="s">
        <v>405</v>
      </c>
      <c r="F15">
        <v>30</v>
      </c>
      <c r="G15">
        <v>2</v>
      </c>
      <c r="H15">
        <v>26</v>
      </c>
      <c r="I15">
        <v>2026</v>
      </c>
      <c r="J15" s="2">
        <v>46083</v>
      </c>
      <c r="K15" s="4">
        <v>0.38541666666666669</v>
      </c>
      <c r="L15" s="4">
        <v>0.38541666666666669</v>
      </c>
      <c r="M15" s="1" t="s">
        <v>406</v>
      </c>
      <c r="N15" s="1" t="s">
        <v>406</v>
      </c>
      <c r="O15" s="1" t="s">
        <v>169</v>
      </c>
      <c r="P15" s="1" t="s">
        <v>407</v>
      </c>
      <c r="Q15" s="1"/>
      <c r="R15">
        <v>4</v>
      </c>
      <c r="S15">
        <v>3500</v>
      </c>
      <c r="T15">
        <v>14000</v>
      </c>
      <c r="U15">
        <v>1200</v>
      </c>
      <c r="V15">
        <v>0</v>
      </c>
      <c r="W15">
        <v>15200</v>
      </c>
      <c r="X15" s="1"/>
      <c r="Y15">
        <v>0</v>
      </c>
      <c r="Z15" s="1"/>
      <c r="AA15">
        <v>0</v>
      </c>
      <c r="AB15" s="1" t="s">
        <v>30</v>
      </c>
      <c r="AC15" s="1"/>
      <c r="AD15" s="1" t="s">
        <v>306</v>
      </c>
      <c r="AE15" s="1" t="s">
        <v>307</v>
      </c>
      <c r="AF15" s="3">
        <v>46050.375</v>
      </c>
      <c r="AG15" s="3">
        <v>46070.629305555558</v>
      </c>
      <c r="AH15" s="1" t="s">
        <v>408</v>
      </c>
      <c r="AI15" s="2">
        <v>47087</v>
      </c>
      <c r="AJ15" s="3"/>
      <c r="AK15" s="1"/>
      <c r="AL15" s="1" t="s">
        <v>409</v>
      </c>
      <c r="AM15" s="1" t="s">
        <v>410</v>
      </c>
      <c r="AN15" s="1" t="s">
        <v>34</v>
      </c>
      <c r="AO15" s="3">
        <v>46050.416666666664</v>
      </c>
      <c r="AP15" s="1" t="s">
        <v>320</v>
      </c>
      <c r="AQ15">
        <v>7600</v>
      </c>
      <c r="AR15">
        <v>7600</v>
      </c>
      <c r="AS15">
        <v>0</v>
      </c>
      <c r="AT15">
        <v>0</v>
      </c>
      <c r="AU15" s="1" t="s">
        <v>312</v>
      </c>
      <c r="AV15" s="3"/>
      <c r="AW15" s="1" t="s">
        <v>312</v>
      </c>
      <c r="AX15" s="3"/>
    </row>
    <row r="16" spans="1:50" x14ac:dyDescent="0.25">
      <c r="A16">
        <v>117</v>
      </c>
      <c r="B16" s="1" t="s">
        <v>411</v>
      </c>
      <c r="C16" s="1" t="s">
        <v>412</v>
      </c>
      <c r="D16" s="1" t="s">
        <v>413</v>
      </c>
      <c r="E16" s="1" t="s">
        <v>414</v>
      </c>
      <c r="F16">
        <v>37</v>
      </c>
      <c r="G16">
        <v>2</v>
      </c>
      <c r="H16">
        <v>27</v>
      </c>
      <c r="I16">
        <v>2026</v>
      </c>
      <c r="J16" s="2">
        <v>46084</v>
      </c>
      <c r="K16" s="4">
        <v>0.69791666666666663</v>
      </c>
      <c r="L16" s="4">
        <v>0.69791666666666663</v>
      </c>
      <c r="M16" s="1" t="s">
        <v>415</v>
      </c>
      <c r="N16" s="1" t="s">
        <v>415</v>
      </c>
      <c r="O16" s="1" t="s">
        <v>165</v>
      </c>
      <c r="P16" s="1" t="s">
        <v>416</v>
      </c>
      <c r="Q16" s="1"/>
      <c r="R16">
        <v>4</v>
      </c>
      <c r="S16">
        <v>5200</v>
      </c>
      <c r="T16">
        <v>20800</v>
      </c>
      <c r="U16">
        <v>2400</v>
      </c>
      <c r="V16">
        <v>0</v>
      </c>
      <c r="W16">
        <v>23200</v>
      </c>
      <c r="X16" s="1"/>
      <c r="Y16">
        <v>0</v>
      </c>
      <c r="Z16" s="1"/>
      <c r="AA16">
        <v>0</v>
      </c>
      <c r="AB16" s="1" t="s">
        <v>326</v>
      </c>
      <c r="AC16" s="1"/>
      <c r="AD16" s="1" t="s">
        <v>316</v>
      </c>
      <c r="AE16" s="1" t="s">
        <v>307</v>
      </c>
      <c r="AF16" s="3">
        <v>46051.6875</v>
      </c>
      <c r="AG16" s="3">
        <v>46070.630254629628</v>
      </c>
      <c r="AH16" s="1" t="s">
        <v>417</v>
      </c>
      <c r="AI16" s="2">
        <v>47177</v>
      </c>
      <c r="AJ16" s="3"/>
      <c r="AK16" s="1"/>
      <c r="AL16" s="1" t="s">
        <v>418</v>
      </c>
      <c r="AM16" s="1" t="s">
        <v>419</v>
      </c>
      <c r="AN16" s="1" t="s">
        <v>34</v>
      </c>
      <c r="AO16" s="3">
        <v>46051.708333333336</v>
      </c>
      <c r="AP16" s="1" t="s">
        <v>311</v>
      </c>
      <c r="AQ16">
        <v>23200</v>
      </c>
      <c r="AR16">
        <v>0</v>
      </c>
      <c r="AS16">
        <v>0</v>
      </c>
      <c r="AT16">
        <v>0</v>
      </c>
      <c r="AU16" s="1" t="s">
        <v>312</v>
      </c>
      <c r="AV16" s="3"/>
      <c r="AW16" s="1" t="s">
        <v>312</v>
      </c>
      <c r="AX16" s="3"/>
    </row>
    <row r="17" spans="1:50" x14ac:dyDescent="0.25">
      <c r="A17">
        <v>118</v>
      </c>
      <c r="B17" s="1" t="s">
        <v>224</v>
      </c>
      <c r="C17" s="1" t="s">
        <v>226</v>
      </c>
      <c r="D17" s="1" t="s">
        <v>225</v>
      </c>
      <c r="E17" s="1" t="s">
        <v>420</v>
      </c>
      <c r="F17">
        <v>34</v>
      </c>
      <c r="G17">
        <v>11</v>
      </c>
      <c r="H17">
        <v>10</v>
      </c>
      <c r="I17">
        <v>2025</v>
      </c>
      <c r="J17" s="2">
        <v>45976</v>
      </c>
      <c r="K17" s="4">
        <v>0.41666666666666669</v>
      </c>
      <c r="L17" s="4">
        <v>0.41666666666666669</v>
      </c>
      <c r="M17" s="1" t="s">
        <v>304</v>
      </c>
      <c r="N17" s="1" t="s">
        <v>304</v>
      </c>
      <c r="O17" s="1" t="s">
        <v>305</v>
      </c>
      <c r="P17" s="1" t="s">
        <v>200</v>
      </c>
      <c r="Q17" s="1"/>
      <c r="R17">
        <v>5</v>
      </c>
      <c r="S17">
        <v>2500</v>
      </c>
      <c r="T17">
        <v>12500</v>
      </c>
      <c r="U17">
        <v>1500</v>
      </c>
      <c r="V17">
        <v>0</v>
      </c>
      <c r="W17">
        <v>14000</v>
      </c>
      <c r="X17" s="1"/>
      <c r="Y17">
        <v>0</v>
      </c>
      <c r="Z17" s="1"/>
      <c r="AA17">
        <v>0</v>
      </c>
      <c r="AB17" s="1" t="s">
        <v>92</v>
      </c>
      <c r="AC17" s="1"/>
      <c r="AD17" s="1" t="s">
        <v>306</v>
      </c>
      <c r="AE17" s="1" t="s">
        <v>307</v>
      </c>
      <c r="AF17" s="3">
        <v>45966.395833333336</v>
      </c>
      <c r="AG17" s="3">
        <v>46070.629305555558</v>
      </c>
      <c r="AH17" s="1" t="s">
        <v>421</v>
      </c>
      <c r="AI17" s="2">
        <v>47118</v>
      </c>
      <c r="AJ17" s="3"/>
      <c r="AK17" s="1"/>
      <c r="AL17" s="1" t="s">
        <v>422</v>
      </c>
      <c r="AM17" s="1" t="s">
        <v>423</v>
      </c>
      <c r="AN17" s="1" t="s">
        <v>34</v>
      </c>
      <c r="AO17" s="3">
        <v>45966.416666666664</v>
      </c>
      <c r="AP17" s="1" t="s">
        <v>311</v>
      </c>
      <c r="AQ17">
        <v>14000</v>
      </c>
      <c r="AR17">
        <v>0</v>
      </c>
      <c r="AS17">
        <v>0</v>
      </c>
      <c r="AT17">
        <v>0</v>
      </c>
      <c r="AU17" s="1" t="s">
        <v>312</v>
      </c>
      <c r="AV17" s="3"/>
      <c r="AW17" s="1" t="s">
        <v>312</v>
      </c>
      <c r="AX17" s="3"/>
    </row>
    <row r="18" spans="1:50" x14ac:dyDescent="0.25">
      <c r="A18">
        <v>119</v>
      </c>
      <c r="B18" s="1" t="s">
        <v>227</v>
      </c>
      <c r="C18" s="1" t="s">
        <v>230</v>
      </c>
      <c r="D18" s="1" t="s">
        <v>229</v>
      </c>
      <c r="E18" s="1" t="s">
        <v>424</v>
      </c>
      <c r="F18">
        <v>29</v>
      </c>
      <c r="G18">
        <v>11</v>
      </c>
      <c r="H18">
        <v>18</v>
      </c>
      <c r="I18">
        <v>2025</v>
      </c>
      <c r="J18" s="2">
        <v>45983</v>
      </c>
      <c r="K18" s="4">
        <v>0.45833333333333331</v>
      </c>
      <c r="L18" s="4">
        <v>0.45833333333333331</v>
      </c>
      <c r="M18" s="1" t="s">
        <v>315</v>
      </c>
      <c r="N18" s="1" t="s">
        <v>315</v>
      </c>
      <c r="O18" s="1" t="s">
        <v>161</v>
      </c>
      <c r="P18" s="1" t="s">
        <v>228</v>
      </c>
      <c r="Q18" s="1"/>
      <c r="R18">
        <v>4</v>
      </c>
      <c r="S18">
        <v>3500</v>
      </c>
      <c r="T18">
        <v>14000</v>
      </c>
      <c r="U18">
        <v>1200</v>
      </c>
      <c r="V18">
        <v>0</v>
      </c>
      <c r="W18">
        <v>15200</v>
      </c>
      <c r="X18" s="1"/>
      <c r="Y18">
        <v>0</v>
      </c>
      <c r="Z18" s="1"/>
      <c r="AA18">
        <v>0</v>
      </c>
      <c r="AB18" s="1" t="s">
        <v>92</v>
      </c>
      <c r="AC18" s="1"/>
      <c r="AD18" s="1" t="s">
        <v>327</v>
      </c>
      <c r="AE18" s="1" t="s">
        <v>307</v>
      </c>
      <c r="AF18" s="3">
        <v>45973.458333333336</v>
      </c>
      <c r="AG18" s="3">
        <v>46070.629305555558</v>
      </c>
      <c r="AH18" s="1" t="s">
        <v>425</v>
      </c>
      <c r="AI18" s="2">
        <v>47253</v>
      </c>
      <c r="AJ18" s="3"/>
      <c r="AK18" s="1"/>
      <c r="AL18" s="1" t="s">
        <v>426</v>
      </c>
      <c r="AM18" s="1" t="s">
        <v>427</v>
      </c>
      <c r="AN18" s="1" t="s">
        <v>34</v>
      </c>
      <c r="AO18" s="3">
        <v>45973.479166666664</v>
      </c>
      <c r="AP18" s="1" t="s">
        <v>320</v>
      </c>
      <c r="AQ18">
        <v>15200</v>
      </c>
      <c r="AR18">
        <v>0</v>
      </c>
      <c r="AS18">
        <v>0</v>
      </c>
      <c r="AT18">
        <v>0</v>
      </c>
      <c r="AU18" s="1" t="s">
        <v>312</v>
      </c>
      <c r="AV18" s="3"/>
      <c r="AW18" s="1" t="s">
        <v>312</v>
      </c>
      <c r="AX18" s="3"/>
    </row>
    <row r="19" spans="1:50" x14ac:dyDescent="0.25">
      <c r="A19">
        <v>120</v>
      </c>
      <c r="B19" s="1" t="s">
        <v>232</v>
      </c>
      <c r="C19" s="1" t="s">
        <v>234</v>
      </c>
      <c r="D19" s="1" t="s">
        <v>233</v>
      </c>
      <c r="E19" s="1" t="s">
        <v>428</v>
      </c>
      <c r="F19">
        <v>41</v>
      </c>
      <c r="G19">
        <v>11</v>
      </c>
      <c r="H19">
        <v>25</v>
      </c>
      <c r="I19">
        <v>2025</v>
      </c>
      <c r="J19" s="2">
        <v>45989</v>
      </c>
      <c r="K19" s="4">
        <v>0.58333333333333337</v>
      </c>
      <c r="L19" s="4">
        <v>0.58333333333333337</v>
      </c>
      <c r="M19" s="1" t="s">
        <v>325</v>
      </c>
      <c r="N19" s="1" t="s">
        <v>325</v>
      </c>
      <c r="O19" s="1" t="s">
        <v>157</v>
      </c>
      <c r="P19" s="1" t="s">
        <v>206</v>
      </c>
      <c r="Q19" s="1"/>
      <c r="R19">
        <v>3</v>
      </c>
      <c r="S19">
        <v>1800</v>
      </c>
      <c r="T19">
        <v>5400</v>
      </c>
      <c r="U19">
        <v>900</v>
      </c>
      <c r="V19">
        <v>0</v>
      </c>
      <c r="W19">
        <v>6300</v>
      </c>
      <c r="X19" s="1"/>
      <c r="Y19">
        <v>0</v>
      </c>
      <c r="Z19" s="1"/>
      <c r="AA19">
        <v>0</v>
      </c>
      <c r="AB19" s="1" t="s">
        <v>92</v>
      </c>
      <c r="AC19" s="1"/>
      <c r="AD19" s="1" t="s">
        <v>316</v>
      </c>
      <c r="AE19" s="1" t="s">
        <v>307</v>
      </c>
      <c r="AF19" s="3">
        <v>45979.583333333336</v>
      </c>
      <c r="AG19" s="3">
        <v>46070.629305555558</v>
      </c>
      <c r="AH19" s="1" t="s">
        <v>429</v>
      </c>
      <c r="AI19" s="2">
        <v>46650</v>
      </c>
      <c r="AJ19" s="3"/>
      <c r="AK19" s="1"/>
      <c r="AL19" s="1" t="s">
        <v>430</v>
      </c>
      <c r="AM19" s="1" t="s">
        <v>431</v>
      </c>
      <c r="AN19" s="1" t="s">
        <v>34</v>
      </c>
      <c r="AO19" s="3">
        <v>45979.604166666664</v>
      </c>
      <c r="AP19" s="1" t="s">
        <v>311</v>
      </c>
      <c r="AQ19">
        <v>6300</v>
      </c>
      <c r="AR19">
        <v>0</v>
      </c>
      <c r="AS19">
        <v>0</v>
      </c>
      <c r="AT19">
        <v>0</v>
      </c>
      <c r="AU19" s="1" t="s">
        <v>312</v>
      </c>
      <c r="AV19" s="3"/>
      <c r="AW19" s="1" t="s">
        <v>312</v>
      </c>
      <c r="AX19" s="3"/>
    </row>
    <row r="20" spans="1:50" x14ac:dyDescent="0.25">
      <c r="A20">
        <v>121</v>
      </c>
      <c r="B20" s="1" t="s">
        <v>236</v>
      </c>
      <c r="C20" s="1" t="s">
        <v>239</v>
      </c>
      <c r="D20" s="1" t="s">
        <v>238</v>
      </c>
      <c r="E20" s="1" t="s">
        <v>432</v>
      </c>
      <c r="F20">
        <v>26</v>
      </c>
      <c r="G20">
        <v>11</v>
      </c>
      <c r="H20">
        <v>28</v>
      </c>
      <c r="I20">
        <v>2025</v>
      </c>
      <c r="J20" s="2">
        <v>45993</v>
      </c>
      <c r="K20" s="4">
        <v>0.375</v>
      </c>
      <c r="L20" s="4">
        <v>0.375</v>
      </c>
      <c r="M20" s="1" t="s">
        <v>332</v>
      </c>
      <c r="N20" s="1" t="s">
        <v>332</v>
      </c>
      <c r="O20" s="1" t="s">
        <v>341</v>
      </c>
      <c r="P20" s="1" t="s">
        <v>237</v>
      </c>
      <c r="Q20" s="1"/>
      <c r="R20">
        <v>4</v>
      </c>
      <c r="S20">
        <v>4000</v>
      </c>
      <c r="T20">
        <v>16000</v>
      </c>
      <c r="U20">
        <v>1200</v>
      </c>
      <c r="V20">
        <v>0</v>
      </c>
      <c r="W20">
        <v>17200</v>
      </c>
      <c r="X20" s="1"/>
      <c r="Y20">
        <v>0</v>
      </c>
      <c r="Z20" s="1"/>
      <c r="AA20">
        <v>0</v>
      </c>
      <c r="AB20" s="1" t="s">
        <v>92</v>
      </c>
      <c r="AC20" s="1"/>
      <c r="AD20" s="1" t="s">
        <v>306</v>
      </c>
      <c r="AE20" s="1" t="s">
        <v>307</v>
      </c>
      <c r="AF20" s="3">
        <v>45983.375</v>
      </c>
      <c r="AG20" s="3">
        <v>46070.629305555558</v>
      </c>
      <c r="AH20" s="1" t="s">
        <v>433</v>
      </c>
      <c r="AI20" s="2">
        <v>47187</v>
      </c>
      <c r="AJ20" s="3"/>
      <c r="AK20" s="1"/>
      <c r="AL20" s="1" t="s">
        <v>434</v>
      </c>
      <c r="AM20" s="1" t="s">
        <v>435</v>
      </c>
      <c r="AN20" s="1" t="s">
        <v>34</v>
      </c>
      <c r="AO20" s="3">
        <v>45983.395833333336</v>
      </c>
      <c r="AP20" s="1" t="s">
        <v>320</v>
      </c>
      <c r="AQ20">
        <v>17200</v>
      </c>
      <c r="AR20">
        <v>0</v>
      </c>
      <c r="AS20">
        <v>0</v>
      </c>
      <c r="AT20">
        <v>0</v>
      </c>
      <c r="AU20" s="1" t="s">
        <v>312</v>
      </c>
      <c r="AV20" s="3"/>
      <c r="AW20" s="1" t="s">
        <v>312</v>
      </c>
      <c r="AX20" s="3"/>
    </row>
    <row r="21" spans="1:50" x14ac:dyDescent="0.25">
      <c r="A21">
        <v>122</v>
      </c>
      <c r="B21" s="1" t="s">
        <v>240</v>
      </c>
      <c r="C21" s="1" t="s">
        <v>243</v>
      </c>
      <c r="D21" s="1" t="s">
        <v>242</v>
      </c>
      <c r="E21" s="1" t="s">
        <v>436</v>
      </c>
      <c r="F21">
        <v>38</v>
      </c>
      <c r="G21">
        <v>11</v>
      </c>
      <c r="H21">
        <v>29</v>
      </c>
      <c r="I21">
        <v>2025</v>
      </c>
      <c r="J21" s="2">
        <v>45994</v>
      </c>
      <c r="K21" s="4">
        <v>0.54166666666666663</v>
      </c>
      <c r="L21" s="4">
        <v>0.54166666666666663</v>
      </c>
      <c r="M21" s="1" t="s">
        <v>340</v>
      </c>
      <c r="N21" s="1" t="s">
        <v>340</v>
      </c>
      <c r="O21" s="1" t="s">
        <v>165</v>
      </c>
      <c r="P21" s="1" t="s">
        <v>241</v>
      </c>
      <c r="Q21" s="1"/>
      <c r="R21">
        <v>4</v>
      </c>
      <c r="S21">
        <v>5000</v>
      </c>
      <c r="T21">
        <v>20000</v>
      </c>
      <c r="U21">
        <v>2400</v>
      </c>
      <c r="V21">
        <v>0</v>
      </c>
      <c r="W21">
        <v>22400</v>
      </c>
      <c r="X21" s="1"/>
      <c r="Y21">
        <v>0</v>
      </c>
      <c r="Z21" s="1"/>
      <c r="AA21">
        <v>0</v>
      </c>
      <c r="AB21" s="1" t="s">
        <v>92</v>
      </c>
      <c r="AC21" s="1"/>
      <c r="AD21" s="1" t="s">
        <v>342</v>
      </c>
      <c r="AE21" s="1" t="s">
        <v>307</v>
      </c>
      <c r="AF21" s="3">
        <v>45987.541666666664</v>
      </c>
      <c r="AG21" s="3">
        <v>46070.629305555558</v>
      </c>
      <c r="AH21" s="1" t="s">
        <v>437</v>
      </c>
      <c r="AI21" s="2">
        <v>46959</v>
      </c>
      <c r="AJ21" s="3"/>
      <c r="AK21" s="1"/>
      <c r="AL21" s="1" t="s">
        <v>438</v>
      </c>
      <c r="AM21" s="1" t="s">
        <v>439</v>
      </c>
      <c r="AN21" s="1" t="s">
        <v>34</v>
      </c>
      <c r="AO21" s="3">
        <v>45987.5625</v>
      </c>
      <c r="AP21" s="1" t="s">
        <v>311</v>
      </c>
      <c r="AQ21">
        <v>22400</v>
      </c>
      <c r="AR21">
        <v>0</v>
      </c>
      <c r="AS21">
        <v>0</v>
      </c>
      <c r="AT21">
        <v>0</v>
      </c>
      <c r="AU21" s="1" t="s">
        <v>312</v>
      </c>
      <c r="AV21" s="3"/>
      <c r="AW21" s="1" t="s">
        <v>312</v>
      </c>
      <c r="AX21" s="3"/>
    </row>
    <row r="22" spans="1:50" x14ac:dyDescent="0.25">
      <c r="A22">
        <v>123</v>
      </c>
      <c r="B22" s="1" t="s">
        <v>245</v>
      </c>
      <c r="C22" s="1" t="s">
        <v>247</v>
      </c>
      <c r="D22" s="1" t="s">
        <v>246</v>
      </c>
      <c r="E22" s="1" t="s">
        <v>440</v>
      </c>
      <c r="F22">
        <v>31</v>
      </c>
      <c r="G22">
        <v>12</v>
      </c>
      <c r="H22">
        <v>8</v>
      </c>
      <c r="I22">
        <v>2025</v>
      </c>
      <c r="J22" s="2">
        <v>46003</v>
      </c>
      <c r="K22" s="4">
        <v>0.4375</v>
      </c>
      <c r="L22" s="4">
        <v>0.4375</v>
      </c>
      <c r="M22" s="1" t="s">
        <v>350</v>
      </c>
      <c r="N22" s="1" t="s">
        <v>350</v>
      </c>
      <c r="O22" s="1" t="s">
        <v>305</v>
      </c>
      <c r="P22" s="1" t="s">
        <v>211</v>
      </c>
      <c r="Q22" s="1"/>
      <c r="R22">
        <v>4</v>
      </c>
      <c r="S22">
        <v>2800</v>
      </c>
      <c r="T22">
        <v>11200</v>
      </c>
      <c r="U22">
        <v>1200</v>
      </c>
      <c r="V22">
        <v>0</v>
      </c>
      <c r="W22">
        <v>12400</v>
      </c>
      <c r="X22" s="1"/>
      <c r="Y22">
        <v>0</v>
      </c>
      <c r="Z22" s="1"/>
      <c r="AA22">
        <v>0</v>
      </c>
      <c r="AB22" s="1" t="s">
        <v>92</v>
      </c>
      <c r="AC22" s="1"/>
      <c r="AD22" s="1" t="s">
        <v>316</v>
      </c>
      <c r="AE22" s="1" t="s">
        <v>307</v>
      </c>
      <c r="AF22" s="3">
        <v>45994.4375</v>
      </c>
      <c r="AG22" s="3">
        <v>46070.629305555558</v>
      </c>
      <c r="AH22" s="1" t="s">
        <v>441</v>
      </c>
      <c r="AI22" s="2">
        <v>47087</v>
      </c>
      <c r="AJ22" s="3"/>
      <c r="AK22" s="1"/>
      <c r="AL22" s="1" t="s">
        <v>442</v>
      </c>
      <c r="AM22" s="1" t="s">
        <v>443</v>
      </c>
      <c r="AN22" s="1" t="s">
        <v>34</v>
      </c>
      <c r="AO22" s="3">
        <v>45994.458333333336</v>
      </c>
      <c r="AP22" s="1" t="s">
        <v>311</v>
      </c>
      <c r="AQ22">
        <v>12400</v>
      </c>
      <c r="AR22">
        <v>0</v>
      </c>
      <c r="AS22">
        <v>0</v>
      </c>
      <c r="AT22">
        <v>0</v>
      </c>
      <c r="AU22" s="1" t="s">
        <v>312</v>
      </c>
      <c r="AV22" s="3"/>
      <c r="AW22" s="1" t="s">
        <v>312</v>
      </c>
      <c r="AX22" s="3"/>
    </row>
    <row r="23" spans="1:50" x14ac:dyDescent="0.25">
      <c r="A23">
        <v>124</v>
      </c>
      <c r="B23" s="1" t="s">
        <v>249</v>
      </c>
      <c r="C23" s="1" t="s">
        <v>252</v>
      </c>
      <c r="D23" s="1" t="s">
        <v>251</v>
      </c>
      <c r="E23" s="1" t="s">
        <v>444</v>
      </c>
      <c r="F23">
        <v>35</v>
      </c>
      <c r="G23">
        <v>12</v>
      </c>
      <c r="H23">
        <v>15</v>
      </c>
      <c r="I23">
        <v>2025</v>
      </c>
      <c r="J23" s="2">
        <v>46010</v>
      </c>
      <c r="K23" s="4">
        <v>0.5</v>
      </c>
      <c r="L23" s="4">
        <v>0.5</v>
      </c>
      <c r="M23" s="1" t="s">
        <v>355</v>
      </c>
      <c r="N23" s="1" t="s">
        <v>355</v>
      </c>
      <c r="O23" s="1" t="s">
        <v>161</v>
      </c>
      <c r="P23" s="1" t="s">
        <v>250</v>
      </c>
      <c r="Q23" s="1"/>
      <c r="R23">
        <v>4</v>
      </c>
      <c r="S23">
        <v>3600</v>
      </c>
      <c r="T23">
        <v>14400</v>
      </c>
      <c r="U23">
        <v>1200</v>
      </c>
      <c r="V23">
        <v>0</v>
      </c>
      <c r="W23">
        <v>15600</v>
      </c>
      <c r="X23" s="1"/>
      <c r="Y23">
        <v>0</v>
      </c>
      <c r="Z23" s="1"/>
      <c r="AA23">
        <v>0</v>
      </c>
      <c r="AB23" s="1" t="s">
        <v>92</v>
      </c>
      <c r="AC23" s="1"/>
      <c r="AD23" s="1" t="s">
        <v>327</v>
      </c>
      <c r="AE23" s="1" t="s">
        <v>307</v>
      </c>
      <c r="AF23" s="3">
        <v>46001.5</v>
      </c>
      <c r="AG23" s="3">
        <v>46070.629305555558</v>
      </c>
      <c r="AH23" s="1" t="s">
        <v>445</v>
      </c>
      <c r="AI23" s="2">
        <v>47133</v>
      </c>
      <c r="AJ23" s="3"/>
      <c r="AK23" s="1"/>
      <c r="AL23" s="1" t="s">
        <v>446</v>
      </c>
      <c r="AM23" s="1" t="s">
        <v>447</v>
      </c>
      <c r="AN23" s="1" t="s">
        <v>34</v>
      </c>
      <c r="AO23" s="3">
        <v>46001.520833333336</v>
      </c>
      <c r="AP23" s="1" t="s">
        <v>320</v>
      </c>
      <c r="AQ23">
        <v>15600</v>
      </c>
      <c r="AR23">
        <v>0</v>
      </c>
      <c r="AS23">
        <v>0</v>
      </c>
      <c r="AT23">
        <v>0</v>
      </c>
      <c r="AU23" s="1" t="s">
        <v>312</v>
      </c>
      <c r="AV23" s="3"/>
      <c r="AW23" s="1" t="s">
        <v>312</v>
      </c>
      <c r="AX23" s="3"/>
    </row>
    <row r="24" spans="1:50" x14ac:dyDescent="0.25">
      <c r="A24">
        <v>125</v>
      </c>
      <c r="B24" s="1" t="s">
        <v>253</v>
      </c>
      <c r="C24" s="1" t="s">
        <v>255</v>
      </c>
      <c r="D24" s="1" t="s">
        <v>254</v>
      </c>
      <c r="E24" s="1" t="s">
        <v>448</v>
      </c>
      <c r="F24">
        <v>28</v>
      </c>
      <c r="G24">
        <v>12</v>
      </c>
      <c r="H24">
        <v>20</v>
      </c>
      <c r="I24">
        <v>2025</v>
      </c>
      <c r="J24" s="2">
        <v>46015</v>
      </c>
      <c r="K24" s="4">
        <v>0.625</v>
      </c>
      <c r="L24" s="4">
        <v>0.625</v>
      </c>
      <c r="M24" s="1" t="s">
        <v>363</v>
      </c>
      <c r="N24" s="1" t="s">
        <v>363</v>
      </c>
      <c r="O24" s="1" t="s">
        <v>169</v>
      </c>
      <c r="P24" s="1" t="s">
        <v>168</v>
      </c>
      <c r="Q24" s="1"/>
      <c r="R24">
        <v>4</v>
      </c>
      <c r="S24">
        <v>3800</v>
      </c>
      <c r="T24">
        <v>15200</v>
      </c>
      <c r="U24">
        <v>1200</v>
      </c>
      <c r="V24">
        <v>0</v>
      </c>
      <c r="W24">
        <v>16400</v>
      </c>
      <c r="X24" s="1"/>
      <c r="Y24">
        <v>0</v>
      </c>
      <c r="Z24" s="1"/>
      <c r="AA24">
        <v>0</v>
      </c>
      <c r="AB24" s="1" t="s">
        <v>92</v>
      </c>
      <c r="AC24" s="1"/>
      <c r="AD24" s="1" t="s">
        <v>306</v>
      </c>
      <c r="AE24" s="1" t="s">
        <v>307</v>
      </c>
      <c r="AF24" s="3">
        <v>46006.625</v>
      </c>
      <c r="AG24" s="3">
        <v>46070.629305555558</v>
      </c>
      <c r="AH24" s="1" t="s">
        <v>449</v>
      </c>
      <c r="AI24" s="2">
        <v>47046</v>
      </c>
      <c r="AJ24" s="3"/>
      <c r="AK24" s="1"/>
      <c r="AL24" s="1" t="s">
        <v>450</v>
      </c>
      <c r="AM24" s="1" t="s">
        <v>451</v>
      </c>
      <c r="AN24" s="1" t="s">
        <v>34</v>
      </c>
      <c r="AO24" s="3">
        <v>46006.645833333336</v>
      </c>
      <c r="AP24" s="1" t="s">
        <v>311</v>
      </c>
      <c r="AQ24">
        <v>16400</v>
      </c>
      <c r="AR24">
        <v>0</v>
      </c>
      <c r="AS24">
        <v>0</v>
      </c>
      <c r="AT24">
        <v>0</v>
      </c>
      <c r="AU24" s="1" t="s">
        <v>312</v>
      </c>
      <c r="AV24" s="3"/>
      <c r="AW24" s="1" t="s">
        <v>312</v>
      </c>
      <c r="AX24" s="3"/>
    </row>
    <row r="25" spans="1:50" x14ac:dyDescent="0.25">
      <c r="A25">
        <v>126</v>
      </c>
      <c r="B25" s="1" t="s">
        <v>257</v>
      </c>
      <c r="C25" s="1" t="s">
        <v>260</v>
      </c>
      <c r="D25" s="1" t="s">
        <v>259</v>
      </c>
      <c r="E25" s="1" t="s">
        <v>452</v>
      </c>
      <c r="F25">
        <v>43</v>
      </c>
      <c r="G25">
        <v>12</v>
      </c>
      <c r="H25">
        <v>25</v>
      </c>
      <c r="I25">
        <v>2025</v>
      </c>
      <c r="J25" s="2">
        <v>46020</v>
      </c>
      <c r="K25" s="4">
        <v>0.39583333333333331</v>
      </c>
      <c r="L25" s="4">
        <v>0.39583333333333331</v>
      </c>
      <c r="M25" s="1" t="s">
        <v>371</v>
      </c>
      <c r="N25" s="1" t="s">
        <v>371</v>
      </c>
      <c r="O25" s="1" t="s">
        <v>341</v>
      </c>
      <c r="P25" s="1" t="s">
        <v>258</v>
      </c>
      <c r="Q25" s="1"/>
      <c r="R25">
        <v>4</v>
      </c>
      <c r="S25">
        <v>3800</v>
      </c>
      <c r="T25">
        <v>15200</v>
      </c>
      <c r="U25">
        <v>1200</v>
      </c>
      <c r="V25">
        <v>0</v>
      </c>
      <c r="W25">
        <v>16400</v>
      </c>
      <c r="X25" s="1"/>
      <c r="Y25">
        <v>0</v>
      </c>
      <c r="Z25" s="1"/>
      <c r="AA25">
        <v>0</v>
      </c>
      <c r="AB25" s="1" t="s">
        <v>92</v>
      </c>
      <c r="AC25" s="1"/>
      <c r="AD25" s="1" t="s">
        <v>316</v>
      </c>
      <c r="AE25" s="1" t="s">
        <v>307</v>
      </c>
      <c r="AF25" s="3">
        <v>46011.395833333336</v>
      </c>
      <c r="AG25" s="3">
        <v>46070.629305555558</v>
      </c>
      <c r="AH25" s="1" t="s">
        <v>453</v>
      </c>
      <c r="AI25" s="2">
        <v>46630</v>
      </c>
      <c r="AJ25" s="3"/>
      <c r="AK25" s="1"/>
      <c r="AL25" s="1" t="s">
        <v>454</v>
      </c>
      <c r="AM25" s="1" t="s">
        <v>455</v>
      </c>
      <c r="AN25" s="1" t="s">
        <v>34</v>
      </c>
      <c r="AO25" s="3">
        <v>46011.416666666664</v>
      </c>
      <c r="AP25" s="1" t="s">
        <v>320</v>
      </c>
      <c r="AQ25">
        <v>16400</v>
      </c>
      <c r="AR25">
        <v>0</v>
      </c>
      <c r="AS25">
        <v>0</v>
      </c>
      <c r="AT25">
        <v>0</v>
      </c>
      <c r="AU25" s="1" t="s">
        <v>312</v>
      </c>
      <c r="AV25" s="3"/>
      <c r="AW25" s="1" t="s">
        <v>312</v>
      </c>
      <c r="AX25" s="3"/>
    </row>
    <row r="26" spans="1:50" x14ac:dyDescent="0.25">
      <c r="A26">
        <v>127</v>
      </c>
      <c r="B26" s="1" t="s">
        <v>262</v>
      </c>
      <c r="C26" s="1" t="s">
        <v>265</v>
      </c>
      <c r="D26" s="1" t="s">
        <v>264</v>
      </c>
      <c r="E26" s="1" t="s">
        <v>456</v>
      </c>
      <c r="F26">
        <v>33</v>
      </c>
      <c r="G26">
        <v>12</v>
      </c>
      <c r="H26">
        <v>30</v>
      </c>
      <c r="I26">
        <v>2025</v>
      </c>
      <c r="J26" s="2">
        <v>46025</v>
      </c>
      <c r="K26" s="4">
        <v>0.58333333333333337</v>
      </c>
      <c r="L26" s="4">
        <v>0.58333333333333337</v>
      </c>
      <c r="M26" s="1" t="s">
        <v>376</v>
      </c>
      <c r="N26" s="1" t="s">
        <v>376</v>
      </c>
      <c r="O26" s="1" t="s">
        <v>165</v>
      </c>
      <c r="P26" s="1" t="s">
        <v>263</v>
      </c>
      <c r="Q26" s="1"/>
      <c r="R26">
        <v>4</v>
      </c>
      <c r="S26">
        <v>5500</v>
      </c>
      <c r="T26">
        <v>22000</v>
      </c>
      <c r="U26">
        <v>2400</v>
      </c>
      <c r="V26">
        <v>0</v>
      </c>
      <c r="W26">
        <v>24400</v>
      </c>
      <c r="X26" s="1"/>
      <c r="Y26">
        <v>0</v>
      </c>
      <c r="Z26" s="1"/>
      <c r="AA26">
        <v>0</v>
      </c>
      <c r="AB26" s="1" t="s">
        <v>92</v>
      </c>
      <c r="AC26" s="1"/>
      <c r="AD26" s="1" t="s">
        <v>342</v>
      </c>
      <c r="AE26" s="1" t="s">
        <v>307</v>
      </c>
      <c r="AF26" s="3">
        <v>46019.583333333336</v>
      </c>
      <c r="AG26" s="3">
        <v>46070.629305555558</v>
      </c>
      <c r="AH26" s="1" t="s">
        <v>457</v>
      </c>
      <c r="AI26" s="2">
        <v>47223</v>
      </c>
      <c r="AJ26" s="3"/>
      <c r="AK26" s="1"/>
      <c r="AL26" s="1" t="s">
        <v>458</v>
      </c>
      <c r="AM26" s="1" t="s">
        <v>459</v>
      </c>
      <c r="AN26" s="1" t="s">
        <v>34</v>
      </c>
      <c r="AO26" s="3">
        <v>46019.604166666664</v>
      </c>
      <c r="AP26" s="1" t="s">
        <v>311</v>
      </c>
      <c r="AQ26">
        <v>24400</v>
      </c>
      <c r="AR26">
        <v>0</v>
      </c>
      <c r="AS26">
        <v>0</v>
      </c>
      <c r="AT26">
        <v>0</v>
      </c>
      <c r="AU26" s="1" t="s">
        <v>312</v>
      </c>
      <c r="AV26" s="3"/>
      <c r="AW26" s="1" t="s">
        <v>312</v>
      </c>
      <c r="AX26" s="3"/>
    </row>
    <row r="27" spans="1:50" x14ac:dyDescent="0.25">
      <c r="A27">
        <v>128</v>
      </c>
      <c r="B27" s="1" t="s">
        <v>460</v>
      </c>
      <c r="C27" s="1" t="s">
        <v>461</v>
      </c>
      <c r="D27" s="1" t="s">
        <v>462</v>
      </c>
      <c r="E27" s="1" t="s">
        <v>463</v>
      </c>
      <c r="F27">
        <v>39</v>
      </c>
      <c r="G27">
        <v>1</v>
      </c>
      <c r="H27">
        <v>8</v>
      </c>
      <c r="I27">
        <v>2026</v>
      </c>
      <c r="J27" s="2">
        <v>46034</v>
      </c>
      <c r="K27" s="4">
        <v>0.45833333333333331</v>
      </c>
      <c r="L27" s="4">
        <v>0.45833333333333331</v>
      </c>
      <c r="M27" s="1" t="s">
        <v>384</v>
      </c>
      <c r="N27" s="1" t="s">
        <v>384</v>
      </c>
      <c r="O27" s="1" t="s">
        <v>305</v>
      </c>
      <c r="P27" s="1" t="s">
        <v>393</v>
      </c>
      <c r="Q27" s="1"/>
      <c r="R27">
        <v>4</v>
      </c>
      <c r="S27">
        <v>2400</v>
      </c>
      <c r="T27">
        <v>9600</v>
      </c>
      <c r="U27">
        <v>1200</v>
      </c>
      <c r="V27">
        <v>0</v>
      </c>
      <c r="W27">
        <v>10800</v>
      </c>
      <c r="X27" s="1"/>
      <c r="Y27">
        <v>0</v>
      </c>
      <c r="Z27" s="1"/>
      <c r="AA27">
        <v>0</v>
      </c>
      <c r="AB27" s="1" t="s">
        <v>92</v>
      </c>
      <c r="AC27" s="1"/>
      <c r="AD27" s="1" t="s">
        <v>306</v>
      </c>
      <c r="AE27" s="1" t="s">
        <v>307</v>
      </c>
      <c r="AF27" s="3">
        <v>46027.458333333336</v>
      </c>
      <c r="AG27" s="3">
        <v>46070.629305555558</v>
      </c>
      <c r="AH27" s="1" t="s">
        <v>464</v>
      </c>
      <c r="AI27" s="2">
        <v>46934</v>
      </c>
      <c r="AJ27" s="3"/>
      <c r="AK27" s="1"/>
      <c r="AL27" s="1" t="s">
        <v>465</v>
      </c>
      <c r="AM27" s="1" t="s">
        <v>466</v>
      </c>
      <c r="AN27" s="1" t="s">
        <v>34</v>
      </c>
      <c r="AO27" s="3">
        <v>46027.479166666664</v>
      </c>
      <c r="AP27" s="1" t="s">
        <v>311</v>
      </c>
      <c r="AQ27">
        <v>10800</v>
      </c>
      <c r="AR27">
        <v>0</v>
      </c>
      <c r="AS27">
        <v>0</v>
      </c>
      <c r="AT27">
        <v>0</v>
      </c>
      <c r="AU27" s="1" t="s">
        <v>312</v>
      </c>
      <c r="AV27" s="3"/>
      <c r="AW27" s="1" t="s">
        <v>312</v>
      </c>
      <c r="AX27" s="3"/>
    </row>
    <row r="28" spans="1:50" x14ac:dyDescent="0.25">
      <c r="A28">
        <v>129</v>
      </c>
      <c r="B28" s="1" t="s">
        <v>467</v>
      </c>
      <c r="C28" s="1" t="s">
        <v>468</v>
      </c>
      <c r="D28" s="1" t="s">
        <v>469</v>
      </c>
      <c r="E28" s="1" t="s">
        <v>470</v>
      </c>
      <c r="F28">
        <v>27</v>
      </c>
      <c r="G28">
        <v>1</v>
      </c>
      <c r="H28">
        <v>12</v>
      </c>
      <c r="I28">
        <v>2026</v>
      </c>
      <c r="J28" s="2">
        <v>46038</v>
      </c>
      <c r="K28" s="4">
        <v>0.54166666666666663</v>
      </c>
      <c r="L28" s="4">
        <v>0.54166666666666663</v>
      </c>
      <c r="M28" s="1" t="s">
        <v>392</v>
      </c>
      <c r="N28" s="1" t="s">
        <v>392</v>
      </c>
      <c r="O28" s="1" t="s">
        <v>161</v>
      </c>
      <c r="P28" s="1" t="s">
        <v>220</v>
      </c>
      <c r="Q28" s="1"/>
      <c r="R28">
        <v>4</v>
      </c>
      <c r="S28">
        <v>3700</v>
      </c>
      <c r="T28">
        <v>14800</v>
      </c>
      <c r="U28">
        <v>1200</v>
      </c>
      <c r="V28">
        <v>0</v>
      </c>
      <c r="W28">
        <v>16000</v>
      </c>
      <c r="X28" s="1"/>
      <c r="Y28">
        <v>0</v>
      </c>
      <c r="Z28" s="1"/>
      <c r="AA28">
        <v>0</v>
      </c>
      <c r="AB28" s="1" t="s">
        <v>92</v>
      </c>
      <c r="AC28" s="1"/>
      <c r="AD28" s="1" t="s">
        <v>327</v>
      </c>
      <c r="AE28" s="1" t="s">
        <v>307</v>
      </c>
      <c r="AF28" s="3">
        <v>46030.541666666664</v>
      </c>
      <c r="AG28" s="3">
        <v>46070.629305555558</v>
      </c>
      <c r="AH28" s="1" t="s">
        <v>471</v>
      </c>
      <c r="AI28" s="2">
        <v>47177</v>
      </c>
      <c r="AJ28" s="3"/>
      <c r="AK28" s="1"/>
      <c r="AL28" s="1" t="s">
        <v>472</v>
      </c>
      <c r="AM28" s="1" t="s">
        <v>473</v>
      </c>
      <c r="AN28" s="1" t="s">
        <v>34</v>
      </c>
      <c r="AO28" s="3">
        <v>46030.5625</v>
      </c>
      <c r="AP28" s="1" t="s">
        <v>320</v>
      </c>
      <c r="AQ28">
        <v>16000</v>
      </c>
      <c r="AR28">
        <v>0</v>
      </c>
      <c r="AS28">
        <v>0</v>
      </c>
      <c r="AT28">
        <v>0</v>
      </c>
      <c r="AU28" s="1" t="s">
        <v>312</v>
      </c>
      <c r="AV28" s="3"/>
      <c r="AW28" s="1" t="s">
        <v>312</v>
      </c>
      <c r="AX28" s="3"/>
    </row>
    <row r="29" spans="1:50" x14ac:dyDescent="0.25">
      <c r="A29">
        <v>130</v>
      </c>
      <c r="B29" s="1" t="s">
        <v>474</v>
      </c>
      <c r="C29" s="1" t="s">
        <v>475</v>
      </c>
      <c r="D29" s="1" t="s">
        <v>476</v>
      </c>
      <c r="E29" s="1" t="s">
        <v>477</v>
      </c>
      <c r="F29">
        <v>36</v>
      </c>
      <c r="G29">
        <v>1</v>
      </c>
      <c r="H29">
        <v>14</v>
      </c>
      <c r="I29">
        <v>2026</v>
      </c>
      <c r="J29" s="2">
        <v>46040</v>
      </c>
      <c r="K29" s="4">
        <v>0.41666666666666669</v>
      </c>
      <c r="L29" s="4">
        <v>0.41666666666666669</v>
      </c>
      <c r="M29" s="1" t="s">
        <v>398</v>
      </c>
      <c r="N29" s="1" t="s">
        <v>398</v>
      </c>
      <c r="O29" s="1" t="s">
        <v>157</v>
      </c>
      <c r="P29" s="1" t="s">
        <v>180</v>
      </c>
      <c r="Q29" s="1"/>
      <c r="R29">
        <v>4</v>
      </c>
      <c r="S29">
        <v>2200</v>
      </c>
      <c r="T29">
        <v>8800</v>
      </c>
      <c r="U29">
        <v>1200</v>
      </c>
      <c r="V29">
        <v>0</v>
      </c>
      <c r="W29">
        <v>10000</v>
      </c>
      <c r="X29" s="1"/>
      <c r="Y29">
        <v>0</v>
      </c>
      <c r="Z29" s="1"/>
      <c r="AA29">
        <v>0</v>
      </c>
      <c r="AB29" s="1" t="s">
        <v>92</v>
      </c>
      <c r="AC29" s="1"/>
      <c r="AD29" s="1" t="s">
        <v>316</v>
      </c>
      <c r="AE29" s="1" t="s">
        <v>307</v>
      </c>
      <c r="AF29" s="3">
        <v>46032.416666666664</v>
      </c>
      <c r="AG29" s="3">
        <v>46070.629305555558</v>
      </c>
      <c r="AH29" s="1" t="s">
        <v>478</v>
      </c>
      <c r="AI29" s="2">
        <v>47011</v>
      </c>
      <c r="AJ29" s="3"/>
      <c r="AK29" s="1"/>
      <c r="AL29" s="1" t="s">
        <v>479</v>
      </c>
      <c r="AM29" s="1" t="s">
        <v>480</v>
      </c>
      <c r="AN29" s="1" t="s">
        <v>34</v>
      </c>
      <c r="AO29" s="3">
        <v>46032.4375</v>
      </c>
      <c r="AP29" s="1" t="s">
        <v>311</v>
      </c>
      <c r="AQ29">
        <v>10000</v>
      </c>
      <c r="AR29">
        <v>0</v>
      </c>
      <c r="AS29">
        <v>0</v>
      </c>
      <c r="AT29">
        <v>0</v>
      </c>
      <c r="AU29" s="1" t="s">
        <v>312</v>
      </c>
      <c r="AV29" s="3"/>
      <c r="AW29" s="1" t="s">
        <v>312</v>
      </c>
      <c r="AX29" s="3"/>
    </row>
    <row r="30" spans="1:50" x14ac:dyDescent="0.25">
      <c r="A30">
        <v>131</v>
      </c>
      <c r="B30" s="1" t="s">
        <v>481</v>
      </c>
      <c r="C30" s="1" t="s">
        <v>482</v>
      </c>
      <c r="D30" s="1" t="s">
        <v>483</v>
      </c>
      <c r="E30" s="1" t="s">
        <v>484</v>
      </c>
      <c r="F30">
        <v>30</v>
      </c>
      <c r="G30">
        <v>1</v>
      </c>
      <c r="H30">
        <v>16</v>
      </c>
      <c r="I30">
        <v>2026</v>
      </c>
      <c r="J30" s="2">
        <v>46042</v>
      </c>
      <c r="K30" s="4">
        <v>0.64583333333333337</v>
      </c>
      <c r="L30" s="4">
        <v>0.64583333333333337</v>
      </c>
      <c r="M30" s="1" t="s">
        <v>406</v>
      </c>
      <c r="N30" s="1" t="s">
        <v>406</v>
      </c>
      <c r="O30" s="1" t="s">
        <v>169</v>
      </c>
      <c r="P30" s="1" t="s">
        <v>407</v>
      </c>
      <c r="Q30" s="1"/>
      <c r="R30">
        <v>4</v>
      </c>
      <c r="S30">
        <v>3500</v>
      </c>
      <c r="T30">
        <v>14000</v>
      </c>
      <c r="U30">
        <v>1200</v>
      </c>
      <c r="V30">
        <v>0</v>
      </c>
      <c r="W30">
        <v>15200</v>
      </c>
      <c r="X30" s="1"/>
      <c r="Y30">
        <v>0</v>
      </c>
      <c r="Z30" s="1"/>
      <c r="AA30">
        <v>0</v>
      </c>
      <c r="AB30" s="1" t="s">
        <v>92</v>
      </c>
      <c r="AC30" s="1"/>
      <c r="AD30" s="1" t="s">
        <v>306</v>
      </c>
      <c r="AE30" s="1" t="s">
        <v>307</v>
      </c>
      <c r="AF30" s="3">
        <v>46034.645833333336</v>
      </c>
      <c r="AG30" s="3">
        <v>46070.629305555558</v>
      </c>
      <c r="AH30" s="1" t="s">
        <v>485</v>
      </c>
      <c r="AI30" s="2">
        <v>47289</v>
      </c>
      <c r="AJ30" s="3"/>
      <c r="AK30" s="1"/>
      <c r="AL30" s="1" t="s">
        <v>486</v>
      </c>
      <c r="AM30" s="1" t="s">
        <v>487</v>
      </c>
      <c r="AN30" s="1" t="s">
        <v>34</v>
      </c>
      <c r="AO30" s="3">
        <v>46034.666666666664</v>
      </c>
      <c r="AP30" s="1" t="s">
        <v>320</v>
      </c>
      <c r="AQ30">
        <v>15200</v>
      </c>
      <c r="AR30">
        <v>0</v>
      </c>
      <c r="AS30">
        <v>0</v>
      </c>
      <c r="AT30">
        <v>0</v>
      </c>
      <c r="AU30" s="1" t="s">
        <v>312</v>
      </c>
      <c r="AV30" s="3"/>
      <c r="AW30" s="1" t="s">
        <v>312</v>
      </c>
      <c r="AX30" s="3"/>
    </row>
    <row r="31" spans="1:50" x14ac:dyDescent="0.25">
      <c r="A31">
        <v>132</v>
      </c>
      <c r="B31" s="1" t="s">
        <v>488</v>
      </c>
      <c r="C31" s="1" t="s">
        <v>489</v>
      </c>
      <c r="D31" s="1" t="s">
        <v>490</v>
      </c>
      <c r="E31" s="1" t="s">
        <v>491</v>
      </c>
      <c r="F31">
        <v>44</v>
      </c>
      <c r="G31">
        <v>1</v>
      </c>
      <c r="H31">
        <v>18</v>
      </c>
      <c r="I31">
        <v>2026</v>
      </c>
      <c r="J31" s="2">
        <v>46044</v>
      </c>
      <c r="K31" s="4">
        <v>0.375</v>
      </c>
      <c r="L31" s="4">
        <v>0.375</v>
      </c>
      <c r="M31" s="1" t="s">
        <v>415</v>
      </c>
      <c r="N31" s="1" t="s">
        <v>415</v>
      </c>
      <c r="O31" s="1" t="s">
        <v>165</v>
      </c>
      <c r="P31" s="1" t="s">
        <v>416</v>
      </c>
      <c r="Q31" s="1"/>
      <c r="R31">
        <v>4</v>
      </c>
      <c r="S31">
        <v>5200</v>
      </c>
      <c r="T31">
        <v>20800</v>
      </c>
      <c r="U31">
        <v>2400</v>
      </c>
      <c r="V31">
        <v>0</v>
      </c>
      <c r="W31">
        <v>23200</v>
      </c>
      <c r="X31" s="1"/>
      <c r="Y31">
        <v>0</v>
      </c>
      <c r="Z31" s="1"/>
      <c r="AA31">
        <v>0</v>
      </c>
      <c r="AB31" s="1" t="s">
        <v>92</v>
      </c>
      <c r="AC31" s="1"/>
      <c r="AD31" s="1" t="s">
        <v>342</v>
      </c>
      <c r="AE31" s="1" t="s">
        <v>307</v>
      </c>
      <c r="AF31" s="3">
        <v>46036.375</v>
      </c>
      <c r="AG31" s="3">
        <v>46070.629305555558</v>
      </c>
      <c r="AH31" s="1" t="s">
        <v>492</v>
      </c>
      <c r="AI31" s="2">
        <v>46752</v>
      </c>
      <c r="AJ31" s="3"/>
      <c r="AK31" s="1"/>
      <c r="AL31" s="1" t="s">
        <v>493</v>
      </c>
      <c r="AM31" s="1" t="s">
        <v>494</v>
      </c>
      <c r="AN31" s="1" t="s">
        <v>34</v>
      </c>
      <c r="AO31" s="3">
        <v>46036.395833333336</v>
      </c>
      <c r="AP31" s="1" t="s">
        <v>311</v>
      </c>
      <c r="AQ31">
        <v>23200</v>
      </c>
      <c r="AR31">
        <v>0</v>
      </c>
      <c r="AS31">
        <v>0</v>
      </c>
      <c r="AT31">
        <v>0</v>
      </c>
      <c r="AU31" s="1" t="s">
        <v>312</v>
      </c>
      <c r="AV31" s="3"/>
      <c r="AW31" s="1" t="s">
        <v>312</v>
      </c>
      <c r="AX31" s="3"/>
    </row>
    <row r="32" spans="1:50" x14ac:dyDescent="0.25">
      <c r="A32">
        <v>133</v>
      </c>
      <c r="B32" s="1" t="s">
        <v>495</v>
      </c>
      <c r="C32" s="1" t="s">
        <v>496</v>
      </c>
      <c r="D32" s="1" t="s">
        <v>497</v>
      </c>
      <c r="E32" s="1" t="s">
        <v>498</v>
      </c>
      <c r="F32">
        <v>32</v>
      </c>
      <c r="G32">
        <v>3</v>
      </c>
      <c r="H32">
        <v>10</v>
      </c>
      <c r="I32">
        <v>2026</v>
      </c>
      <c r="J32" s="2">
        <v>46095</v>
      </c>
      <c r="K32" s="4">
        <v>0.41666666666666669</v>
      </c>
      <c r="L32" s="4">
        <v>0.41666666666666669</v>
      </c>
      <c r="M32" s="1" t="s">
        <v>304</v>
      </c>
      <c r="N32" s="1" t="s">
        <v>304</v>
      </c>
      <c r="O32" s="1" t="s">
        <v>305</v>
      </c>
      <c r="P32" s="1" t="s">
        <v>200</v>
      </c>
      <c r="Q32" s="1"/>
      <c r="R32">
        <v>4</v>
      </c>
      <c r="S32">
        <v>2500</v>
      </c>
      <c r="T32">
        <v>10000</v>
      </c>
      <c r="U32">
        <v>1200</v>
      </c>
      <c r="V32">
        <v>0</v>
      </c>
      <c r="W32">
        <v>11200</v>
      </c>
      <c r="X32" s="1"/>
      <c r="Y32">
        <v>0</v>
      </c>
      <c r="Z32" s="1"/>
      <c r="AA32">
        <v>0</v>
      </c>
      <c r="AB32" s="1" t="s">
        <v>326</v>
      </c>
      <c r="AC32" s="1"/>
      <c r="AD32" s="1" t="s">
        <v>306</v>
      </c>
      <c r="AE32" s="1" t="s">
        <v>307</v>
      </c>
      <c r="AF32" s="3">
        <v>46086.416666666664</v>
      </c>
      <c r="AG32" s="3">
        <v>46070.630219907405</v>
      </c>
      <c r="AH32" s="1" t="s">
        <v>499</v>
      </c>
      <c r="AI32" s="2">
        <v>46990</v>
      </c>
      <c r="AJ32" s="3"/>
      <c r="AK32" s="1"/>
      <c r="AL32" s="1" t="s">
        <v>500</v>
      </c>
      <c r="AM32" s="1" t="s">
        <v>501</v>
      </c>
      <c r="AN32" s="1" t="s">
        <v>34</v>
      </c>
      <c r="AO32" s="3">
        <v>46086.4375</v>
      </c>
      <c r="AP32" s="1" t="s">
        <v>311</v>
      </c>
      <c r="AQ32">
        <v>11200</v>
      </c>
      <c r="AR32">
        <v>0</v>
      </c>
      <c r="AS32">
        <v>0</v>
      </c>
      <c r="AT32">
        <v>0</v>
      </c>
      <c r="AU32" s="1" t="s">
        <v>312</v>
      </c>
      <c r="AV32" s="3"/>
      <c r="AW32" s="1" t="s">
        <v>312</v>
      </c>
      <c r="AX32" s="3"/>
    </row>
    <row r="33" spans="1:50" x14ac:dyDescent="0.25">
      <c r="A33">
        <v>134</v>
      </c>
      <c r="B33" s="1" t="s">
        <v>502</v>
      </c>
      <c r="C33" s="1" t="s">
        <v>503</v>
      </c>
      <c r="D33" s="1" t="s">
        <v>504</v>
      </c>
      <c r="E33" s="1" t="s">
        <v>505</v>
      </c>
      <c r="F33">
        <v>37</v>
      </c>
      <c r="G33">
        <v>3</v>
      </c>
      <c r="H33">
        <v>15</v>
      </c>
      <c r="I33">
        <v>2026</v>
      </c>
      <c r="J33" s="2">
        <v>46100</v>
      </c>
      <c r="K33" s="4">
        <v>0.5</v>
      </c>
      <c r="L33" s="4">
        <v>0.5</v>
      </c>
      <c r="M33" s="1" t="s">
        <v>315</v>
      </c>
      <c r="N33" s="1" t="s">
        <v>315</v>
      </c>
      <c r="O33" s="1" t="s">
        <v>161</v>
      </c>
      <c r="P33" s="1" t="s">
        <v>228</v>
      </c>
      <c r="Q33" s="1"/>
      <c r="R33">
        <v>4</v>
      </c>
      <c r="S33">
        <v>3500</v>
      </c>
      <c r="T33">
        <v>14000</v>
      </c>
      <c r="U33">
        <v>1200</v>
      </c>
      <c r="V33">
        <v>0</v>
      </c>
      <c r="W33">
        <v>15200</v>
      </c>
      <c r="X33" s="1"/>
      <c r="Y33">
        <v>0</v>
      </c>
      <c r="Z33" s="1"/>
      <c r="AA33">
        <v>0</v>
      </c>
      <c r="AB33" s="1" t="s">
        <v>326</v>
      </c>
      <c r="AC33" s="1"/>
      <c r="AD33" s="1" t="s">
        <v>327</v>
      </c>
      <c r="AE33" s="1" t="s">
        <v>307</v>
      </c>
      <c r="AF33" s="3">
        <v>46091.5</v>
      </c>
      <c r="AG33" s="3">
        <v>46070.630196759259</v>
      </c>
      <c r="AH33" s="1" t="s">
        <v>506</v>
      </c>
      <c r="AI33" s="2">
        <v>47248</v>
      </c>
      <c r="AJ33" s="3"/>
      <c r="AK33" s="1"/>
      <c r="AL33" s="1" t="s">
        <v>507</v>
      </c>
      <c r="AM33" s="1" t="s">
        <v>508</v>
      </c>
      <c r="AN33" s="1" t="s">
        <v>34</v>
      </c>
      <c r="AO33" s="3">
        <v>46091.520833333336</v>
      </c>
      <c r="AP33" s="1" t="s">
        <v>320</v>
      </c>
      <c r="AQ33">
        <v>7600</v>
      </c>
      <c r="AR33">
        <v>7600</v>
      </c>
      <c r="AS33">
        <v>0</v>
      </c>
      <c r="AT33">
        <v>0</v>
      </c>
      <c r="AU33" s="1" t="s">
        <v>312</v>
      </c>
      <c r="AV33" s="3"/>
      <c r="AW33" s="1" t="s">
        <v>312</v>
      </c>
      <c r="AX33" s="3"/>
    </row>
    <row r="34" spans="1:50" x14ac:dyDescent="0.25">
      <c r="A34">
        <v>135</v>
      </c>
      <c r="B34" s="1" t="s">
        <v>509</v>
      </c>
      <c r="C34" s="1" t="s">
        <v>510</v>
      </c>
      <c r="D34" s="1" t="s">
        <v>511</v>
      </c>
      <c r="E34" s="1" t="s">
        <v>512</v>
      </c>
      <c r="F34">
        <v>29</v>
      </c>
      <c r="G34">
        <v>3</v>
      </c>
      <c r="H34">
        <v>20</v>
      </c>
      <c r="I34">
        <v>2026</v>
      </c>
      <c r="J34" s="2">
        <v>46105</v>
      </c>
      <c r="K34" s="4">
        <v>0.58333333333333337</v>
      </c>
      <c r="L34" s="4">
        <v>0.58333333333333337</v>
      </c>
      <c r="M34" s="1" t="s">
        <v>325</v>
      </c>
      <c r="N34" s="1" t="s">
        <v>325</v>
      </c>
      <c r="O34" s="1" t="s">
        <v>341</v>
      </c>
      <c r="P34" s="1" t="s">
        <v>237</v>
      </c>
      <c r="Q34" s="1"/>
      <c r="R34">
        <v>4</v>
      </c>
      <c r="S34">
        <v>4000</v>
      </c>
      <c r="T34">
        <v>16000</v>
      </c>
      <c r="U34">
        <v>1200</v>
      </c>
      <c r="V34">
        <v>0</v>
      </c>
      <c r="W34">
        <v>17200</v>
      </c>
      <c r="X34" s="1"/>
      <c r="Y34">
        <v>0</v>
      </c>
      <c r="Z34" s="1"/>
      <c r="AA34">
        <v>0</v>
      </c>
      <c r="AB34" s="1" t="s">
        <v>326</v>
      </c>
      <c r="AC34" s="1"/>
      <c r="AD34" s="1" t="s">
        <v>316</v>
      </c>
      <c r="AE34" s="1" t="s">
        <v>307</v>
      </c>
      <c r="AF34" s="3">
        <v>46096.583333333336</v>
      </c>
      <c r="AG34" s="3">
        <v>46070.630162037036</v>
      </c>
      <c r="AH34" s="1" t="s">
        <v>513</v>
      </c>
      <c r="AI34" s="2">
        <v>47072</v>
      </c>
      <c r="AJ34" s="3"/>
      <c r="AK34" s="1"/>
      <c r="AL34" s="1" t="s">
        <v>514</v>
      </c>
      <c r="AM34" s="1" t="s">
        <v>515</v>
      </c>
      <c r="AN34" s="1" t="s">
        <v>34</v>
      </c>
      <c r="AO34" s="3">
        <v>46096.604166666664</v>
      </c>
      <c r="AP34" s="1" t="s">
        <v>311</v>
      </c>
      <c r="AQ34">
        <v>17200</v>
      </c>
      <c r="AR34">
        <v>0</v>
      </c>
      <c r="AS34">
        <v>0</v>
      </c>
      <c r="AT34">
        <v>0</v>
      </c>
      <c r="AU34" s="1" t="s">
        <v>312</v>
      </c>
      <c r="AV34" s="3"/>
      <c r="AW34" s="1" t="s">
        <v>312</v>
      </c>
      <c r="AX34" s="3"/>
    </row>
    <row r="35" spans="1:50" x14ac:dyDescent="0.25">
      <c r="A35">
        <v>136</v>
      </c>
      <c r="B35" s="1" t="s">
        <v>516</v>
      </c>
      <c r="C35" s="1" t="s">
        <v>517</v>
      </c>
      <c r="D35" s="1" t="s">
        <v>518</v>
      </c>
      <c r="E35" s="1" t="s">
        <v>519</v>
      </c>
      <c r="F35">
        <v>40</v>
      </c>
      <c r="G35">
        <v>3</v>
      </c>
      <c r="H35">
        <v>25</v>
      </c>
      <c r="I35">
        <v>2026</v>
      </c>
      <c r="J35" s="2">
        <v>46110</v>
      </c>
      <c r="K35" s="4">
        <v>0.47916666666666669</v>
      </c>
      <c r="L35" s="4">
        <v>0.47916666666666669</v>
      </c>
      <c r="M35" s="1" t="s">
        <v>332</v>
      </c>
      <c r="N35" s="1" t="s">
        <v>332</v>
      </c>
      <c r="O35" s="1" t="s">
        <v>165</v>
      </c>
      <c r="P35" s="1" t="s">
        <v>241</v>
      </c>
      <c r="Q35" s="1"/>
      <c r="R35">
        <v>4</v>
      </c>
      <c r="S35">
        <v>5000</v>
      </c>
      <c r="T35">
        <v>20000</v>
      </c>
      <c r="U35">
        <v>2400</v>
      </c>
      <c r="V35">
        <v>0</v>
      </c>
      <c r="W35">
        <v>22400</v>
      </c>
      <c r="X35" s="1"/>
      <c r="Y35">
        <v>0</v>
      </c>
      <c r="Z35" s="1"/>
      <c r="AA35">
        <v>0</v>
      </c>
      <c r="AB35" s="1" t="s">
        <v>326</v>
      </c>
      <c r="AC35" s="1"/>
      <c r="AD35" s="1" t="s">
        <v>306</v>
      </c>
      <c r="AE35" s="1" t="s">
        <v>307</v>
      </c>
      <c r="AF35" s="3">
        <v>46101.479166666664</v>
      </c>
      <c r="AG35" s="3">
        <v>46070.63013888889</v>
      </c>
      <c r="AH35" s="1" t="s">
        <v>520</v>
      </c>
      <c r="AI35" s="2">
        <v>46680</v>
      </c>
      <c r="AJ35" s="3"/>
      <c r="AK35" s="1"/>
      <c r="AL35" s="1" t="s">
        <v>521</v>
      </c>
      <c r="AM35" s="1" t="s">
        <v>522</v>
      </c>
      <c r="AN35" s="1" t="s">
        <v>34</v>
      </c>
      <c r="AO35" s="3">
        <v>46101.5</v>
      </c>
      <c r="AP35" s="1" t="s">
        <v>320</v>
      </c>
      <c r="AQ35">
        <v>11200</v>
      </c>
      <c r="AR35">
        <v>11200</v>
      </c>
      <c r="AS35">
        <v>0</v>
      </c>
      <c r="AT35">
        <v>0</v>
      </c>
      <c r="AU35" s="1" t="s">
        <v>312</v>
      </c>
      <c r="AV35" s="3"/>
      <c r="AW35" s="1" t="s">
        <v>312</v>
      </c>
      <c r="AX35" s="3"/>
    </row>
    <row r="36" spans="1:50" x14ac:dyDescent="0.25">
      <c r="A36">
        <v>137</v>
      </c>
      <c r="B36" s="1" t="s">
        <v>523</v>
      </c>
      <c r="C36" s="1" t="s">
        <v>524</v>
      </c>
      <c r="D36" s="1" t="s">
        <v>525</v>
      </c>
      <c r="E36" s="1" t="s">
        <v>526</v>
      </c>
      <c r="F36">
        <v>26</v>
      </c>
      <c r="G36">
        <v>3</v>
      </c>
      <c r="H36">
        <v>28</v>
      </c>
      <c r="I36">
        <v>2026</v>
      </c>
      <c r="J36" s="2">
        <v>46113</v>
      </c>
      <c r="K36" s="4">
        <v>0.66666666666666663</v>
      </c>
      <c r="L36" s="4">
        <v>0.66666666666666663</v>
      </c>
      <c r="M36" s="1" t="s">
        <v>340</v>
      </c>
      <c r="N36" s="1" t="s">
        <v>340</v>
      </c>
      <c r="O36" s="1" t="s">
        <v>169</v>
      </c>
      <c r="P36" s="1" t="s">
        <v>168</v>
      </c>
      <c r="Q36" s="1"/>
      <c r="R36">
        <v>4</v>
      </c>
      <c r="S36">
        <v>3800</v>
      </c>
      <c r="T36">
        <v>15200</v>
      </c>
      <c r="U36">
        <v>1200</v>
      </c>
      <c r="V36">
        <v>0</v>
      </c>
      <c r="W36">
        <v>16400</v>
      </c>
      <c r="X36" s="1"/>
      <c r="Y36">
        <v>0</v>
      </c>
      <c r="Z36" s="1"/>
      <c r="AA36">
        <v>0</v>
      </c>
      <c r="AB36" s="1" t="s">
        <v>326</v>
      </c>
      <c r="AC36" s="1"/>
      <c r="AD36" s="1" t="s">
        <v>342</v>
      </c>
      <c r="AE36" s="1" t="s">
        <v>307</v>
      </c>
      <c r="AF36" s="3">
        <v>46106.666666666664</v>
      </c>
      <c r="AG36" s="3">
        <v>46070.63009259259</v>
      </c>
      <c r="AH36" s="1" t="s">
        <v>527</v>
      </c>
      <c r="AI36" s="2">
        <v>47329</v>
      </c>
      <c r="AJ36" s="3"/>
      <c r="AK36" s="1"/>
      <c r="AL36" s="1" t="s">
        <v>528</v>
      </c>
      <c r="AM36" s="1" t="s">
        <v>529</v>
      </c>
      <c r="AN36" s="1" t="s">
        <v>34</v>
      </c>
      <c r="AO36" s="3">
        <v>46106.6875</v>
      </c>
      <c r="AP36" s="1" t="s">
        <v>311</v>
      </c>
      <c r="AQ36">
        <v>16400</v>
      </c>
      <c r="AR36">
        <v>0</v>
      </c>
      <c r="AS36">
        <v>0</v>
      </c>
      <c r="AT36">
        <v>0</v>
      </c>
      <c r="AU36" s="1" t="s">
        <v>312</v>
      </c>
      <c r="AV36" s="3"/>
      <c r="AW36" s="1" t="s">
        <v>312</v>
      </c>
      <c r="AX36" s="3"/>
    </row>
    <row r="37" spans="1:50" x14ac:dyDescent="0.25">
      <c r="A37">
        <v>138</v>
      </c>
      <c r="B37" s="1" t="s">
        <v>530</v>
      </c>
      <c r="C37" s="1" t="s">
        <v>531</v>
      </c>
      <c r="D37" s="1" t="s">
        <v>40</v>
      </c>
      <c r="E37" s="1" t="s">
        <v>532</v>
      </c>
      <c r="F37">
        <v>21</v>
      </c>
      <c r="G37">
        <v>3</v>
      </c>
      <c r="H37">
        <v>28</v>
      </c>
      <c r="I37">
        <v>2026</v>
      </c>
      <c r="J37" s="2">
        <v>46112</v>
      </c>
      <c r="K37" s="4">
        <v>0.41666666666666669</v>
      </c>
      <c r="L37" s="4">
        <v>0.41666666666666669</v>
      </c>
      <c r="M37" s="1" t="s">
        <v>533</v>
      </c>
      <c r="N37" s="1" t="s">
        <v>534</v>
      </c>
      <c r="O37" s="1" t="s">
        <v>157</v>
      </c>
      <c r="P37" s="1" t="s">
        <v>7</v>
      </c>
      <c r="Q37" s="1" t="s">
        <v>535</v>
      </c>
      <c r="R37">
        <v>3</v>
      </c>
      <c r="S37">
        <v>3650</v>
      </c>
      <c r="T37">
        <v>10950</v>
      </c>
      <c r="U37">
        <v>900</v>
      </c>
      <c r="V37">
        <v>0</v>
      </c>
      <c r="W37">
        <v>11850</v>
      </c>
      <c r="X37" s="1" t="s">
        <v>179</v>
      </c>
      <c r="Y37">
        <v>0</v>
      </c>
      <c r="Z37" s="1"/>
      <c r="AA37">
        <v>0</v>
      </c>
      <c r="AB37" s="1" t="s">
        <v>92</v>
      </c>
      <c r="AC37" s="1"/>
      <c r="AD37" s="1" t="s">
        <v>306</v>
      </c>
      <c r="AE37" s="1" t="s">
        <v>307</v>
      </c>
      <c r="AF37" s="3">
        <v>46070.631782407407</v>
      </c>
      <c r="AG37" s="3">
        <v>46070.642060185186</v>
      </c>
      <c r="AH37" s="1" t="s">
        <v>536</v>
      </c>
      <c r="AI37" s="2">
        <v>46929</v>
      </c>
      <c r="AJ37" s="3">
        <v>46070.642060185186</v>
      </c>
      <c r="AK37" s="1" t="s">
        <v>537</v>
      </c>
      <c r="AL37" s="1" t="s">
        <v>538</v>
      </c>
      <c r="AM37" s="1"/>
      <c r="AN37" s="1" t="s">
        <v>34</v>
      </c>
      <c r="AO37" s="3">
        <v>46070.633761574078</v>
      </c>
      <c r="AP37" s="1" t="s">
        <v>320</v>
      </c>
      <c r="AQ37">
        <v>11850</v>
      </c>
      <c r="AR37">
        <v>0</v>
      </c>
      <c r="AS37">
        <v>0</v>
      </c>
      <c r="AT37">
        <v>38</v>
      </c>
      <c r="AU37" s="1" t="s">
        <v>312</v>
      </c>
      <c r="AV37" s="3"/>
      <c r="AW37" s="1" t="s">
        <v>312</v>
      </c>
      <c r="AX37" s="3"/>
    </row>
    <row r="38" spans="1:50" x14ac:dyDescent="0.25">
      <c r="A38">
        <v>139</v>
      </c>
      <c r="B38" s="1" t="s">
        <v>539</v>
      </c>
      <c r="C38" s="1" t="s">
        <v>43</v>
      </c>
      <c r="D38" s="1" t="s">
        <v>540</v>
      </c>
      <c r="E38" s="1" t="s">
        <v>27</v>
      </c>
      <c r="F38">
        <v>21</v>
      </c>
      <c r="G38">
        <v>3</v>
      </c>
      <c r="H38">
        <v>28</v>
      </c>
      <c r="I38">
        <v>2026</v>
      </c>
      <c r="J38" s="2">
        <v>46111</v>
      </c>
      <c r="K38" s="4">
        <v>0.41666666666666669</v>
      </c>
      <c r="L38" s="4">
        <v>0.41666666666666669</v>
      </c>
      <c r="M38" s="1" t="s">
        <v>304</v>
      </c>
      <c r="N38" s="1" t="s">
        <v>304</v>
      </c>
      <c r="O38" s="1" t="s">
        <v>157</v>
      </c>
      <c r="P38" s="1" t="s">
        <v>7</v>
      </c>
      <c r="Q38" s="1" t="s">
        <v>535</v>
      </c>
      <c r="R38">
        <v>2</v>
      </c>
      <c r="S38">
        <v>3650</v>
      </c>
      <c r="T38">
        <v>7300</v>
      </c>
      <c r="U38">
        <v>1800</v>
      </c>
      <c r="V38">
        <v>0</v>
      </c>
      <c r="W38">
        <v>9100</v>
      </c>
      <c r="X38" s="1" t="s">
        <v>179</v>
      </c>
      <c r="Y38">
        <v>0</v>
      </c>
      <c r="Z38" s="1"/>
      <c r="AA38">
        <v>0</v>
      </c>
      <c r="AB38" s="1" t="s">
        <v>92</v>
      </c>
      <c r="AC38" s="1"/>
      <c r="AD38" s="1" t="s">
        <v>306</v>
      </c>
      <c r="AE38" s="1" t="s">
        <v>307</v>
      </c>
      <c r="AF38" s="3">
        <v>46070.643877314818</v>
      </c>
      <c r="AG38" s="3">
        <v>46070.644803240742</v>
      </c>
      <c r="AH38" s="1" t="s">
        <v>541</v>
      </c>
      <c r="AI38" s="2">
        <v>46316</v>
      </c>
      <c r="AJ38" s="3">
        <v>46070.644803240742</v>
      </c>
      <c r="AK38" s="1" t="s">
        <v>542</v>
      </c>
      <c r="AL38" s="1" t="s">
        <v>543</v>
      </c>
      <c r="AM38" s="1"/>
      <c r="AN38" s="1" t="s">
        <v>34</v>
      </c>
      <c r="AO38" s="3">
        <v>46070.644618055558</v>
      </c>
      <c r="AP38" s="1" t="s">
        <v>311</v>
      </c>
      <c r="AQ38">
        <v>9100</v>
      </c>
      <c r="AR38">
        <v>0</v>
      </c>
      <c r="AS38">
        <v>0</v>
      </c>
      <c r="AT38">
        <v>38</v>
      </c>
      <c r="AU38" s="1" t="s">
        <v>312</v>
      </c>
      <c r="AV38" s="3"/>
      <c r="AW38" s="1" t="s">
        <v>312</v>
      </c>
      <c r="AX38" s="3"/>
    </row>
    <row r="39" spans="1:50" x14ac:dyDescent="0.25">
      <c r="A39">
        <v>140</v>
      </c>
      <c r="B39" s="1" t="s">
        <v>544</v>
      </c>
      <c r="C39" s="1" t="s">
        <v>545</v>
      </c>
      <c r="D39" s="1" t="s">
        <v>50</v>
      </c>
      <c r="E39" s="1" t="s">
        <v>36</v>
      </c>
      <c r="F39">
        <v>22</v>
      </c>
      <c r="G39">
        <v>4</v>
      </c>
      <c r="H39">
        <v>14</v>
      </c>
      <c r="I39">
        <v>2026</v>
      </c>
      <c r="J39" s="2">
        <v>46133</v>
      </c>
      <c r="K39" s="4">
        <v>0.41666666666666669</v>
      </c>
      <c r="L39" s="4">
        <v>0.41666666666666669</v>
      </c>
      <c r="M39" s="1" t="s">
        <v>371</v>
      </c>
      <c r="N39" s="1" t="s">
        <v>371</v>
      </c>
      <c r="O39" s="1" t="s">
        <v>157</v>
      </c>
      <c r="P39" s="1" t="s">
        <v>7</v>
      </c>
      <c r="Q39" s="1" t="s">
        <v>535</v>
      </c>
      <c r="R39">
        <v>7</v>
      </c>
      <c r="S39">
        <v>3650</v>
      </c>
      <c r="T39">
        <v>25550</v>
      </c>
      <c r="U39">
        <v>0</v>
      </c>
      <c r="V39">
        <v>1400</v>
      </c>
      <c r="W39">
        <v>26950</v>
      </c>
      <c r="X39" s="1" t="s">
        <v>179</v>
      </c>
      <c r="Y39">
        <v>0</v>
      </c>
      <c r="Z39" s="1"/>
      <c r="AA39">
        <v>0</v>
      </c>
      <c r="AB39" s="1" t="s">
        <v>92</v>
      </c>
      <c r="AC39" s="1"/>
      <c r="AD39" s="1" t="s">
        <v>306</v>
      </c>
      <c r="AE39" s="1" t="s">
        <v>307</v>
      </c>
      <c r="AF39" s="3">
        <v>46070.66138888889</v>
      </c>
      <c r="AG39" s="3">
        <v>46070.662476851852</v>
      </c>
      <c r="AH39" s="1" t="s">
        <v>546</v>
      </c>
      <c r="AI39" s="2">
        <v>47667</v>
      </c>
      <c r="AJ39" s="3">
        <v>46070.662476851852</v>
      </c>
      <c r="AK39" s="1" t="s">
        <v>547</v>
      </c>
      <c r="AL39" s="1" t="s">
        <v>548</v>
      </c>
      <c r="AM39" s="1"/>
      <c r="AN39" s="1" t="s">
        <v>34</v>
      </c>
      <c r="AO39" s="3">
        <v>46070.662094907406</v>
      </c>
      <c r="AP39" s="1" t="s">
        <v>320</v>
      </c>
      <c r="AQ39">
        <v>13475</v>
      </c>
      <c r="AR39">
        <v>13475</v>
      </c>
      <c r="AS39">
        <v>0</v>
      </c>
      <c r="AT39">
        <v>56</v>
      </c>
      <c r="AU39" s="1" t="s">
        <v>549</v>
      </c>
      <c r="AV39" s="3">
        <v>46070.662395833337</v>
      </c>
      <c r="AW39" s="1" t="s">
        <v>550</v>
      </c>
      <c r="AX39" s="3"/>
    </row>
    <row r="40" spans="1:50" x14ac:dyDescent="0.25">
      <c r="A40">
        <v>141</v>
      </c>
      <c r="B40" s="1" t="s">
        <v>551</v>
      </c>
      <c r="C40" s="1" t="s">
        <v>54</v>
      </c>
      <c r="D40" s="1" t="s">
        <v>55</v>
      </c>
      <c r="E40" s="1" t="s">
        <v>56</v>
      </c>
      <c r="F40">
        <v>0</v>
      </c>
      <c r="G40">
        <v>1</v>
      </c>
      <c r="H40">
        <v>10</v>
      </c>
      <c r="I40">
        <v>2025</v>
      </c>
      <c r="J40" s="2">
        <v>45670</v>
      </c>
      <c r="K40" s="4">
        <v>0.375</v>
      </c>
      <c r="L40" s="4">
        <v>0.75</v>
      </c>
      <c r="M40" s="1" t="s">
        <v>552</v>
      </c>
      <c r="N40" s="1" t="s">
        <v>552</v>
      </c>
      <c r="O40" s="1" t="s">
        <v>305</v>
      </c>
      <c r="P40" s="1" t="s">
        <v>553</v>
      </c>
      <c r="Q40" s="1" t="s">
        <v>554</v>
      </c>
      <c r="R40">
        <v>3</v>
      </c>
      <c r="S40">
        <v>1500</v>
      </c>
      <c r="T40">
        <v>0</v>
      </c>
      <c r="U40">
        <v>300</v>
      </c>
      <c r="V40">
        <v>0</v>
      </c>
      <c r="W40">
        <v>4800</v>
      </c>
      <c r="X40" s="1"/>
      <c r="Y40">
        <v>0</v>
      </c>
      <c r="Z40" s="1"/>
      <c r="AA40">
        <v>0</v>
      </c>
      <c r="AB40" s="1" t="s">
        <v>92</v>
      </c>
      <c r="AC40" s="1"/>
      <c r="AD40" s="1"/>
      <c r="AE40" s="1" t="s">
        <v>307</v>
      </c>
      <c r="AF40" s="3">
        <v>45662.416666666664</v>
      </c>
      <c r="AG40" s="3">
        <v>46070.678912037038</v>
      </c>
      <c r="AH40" s="1" t="s">
        <v>179</v>
      </c>
      <c r="AI40" s="2"/>
      <c r="AJ40" s="3"/>
      <c r="AK40" s="1"/>
      <c r="AL40" s="1"/>
      <c r="AM40" s="1"/>
      <c r="AN40" s="1"/>
      <c r="AO40" s="3"/>
      <c r="AP40" s="1" t="s">
        <v>311</v>
      </c>
      <c r="AQ40">
        <v>4800</v>
      </c>
      <c r="AR40">
        <v>0</v>
      </c>
      <c r="AS40">
        <v>0</v>
      </c>
      <c r="AT40">
        <v>0</v>
      </c>
      <c r="AU40" s="1" t="s">
        <v>312</v>
      </c>
      <c r="AV40" s="3"/>
      <c r="AW40" s="1" t="s">
        <v>312</v>
      </c>
      <c r="AX40" s="3"/>
    </row>
    <row r="41" spans="1:50" x14ac:dyDescent="0.25">
      <c r="A41">
        <v>142</v>
      </c>
      <c r="B41" s="1" t="s">
        <v>555</v>
      </c>
      <c r="C41" s="1" t="s">
        <v>54</v>
      </c>
      <c r="D41" s="1" t="s">
        <v>55</v>
      </c>
      <c r="E41" s="1" t="s">
        <v>56</v>
      </c>
      <c r="F41">
        <v>0</v>
      </c>
      <c r="G41">
        <v>2</v>
      </c>
      <c r="H41">
        <v>15</v>
      </c>
      <c r="I41">
        <v>2025</v>
      </c>
      <c r="J41" s="2">
        <v>45706</v>
      </c>
      <c r="K41" s="4">
        <v>0.41666666666666669</v>
      </c>
      <c r="L41" s="4">
        <v>0.70833333333333337</v>
      </c>
      <c r="M41" s="1" t="s">
        <v>556</v>
      </c>
      <c r="N41" s="1" t="s">
        <v>556</v>
      </c>
      <c r="O41" s="1" t="s">
        <v>305</v>
      </c>
      <c r="P41" s="1" t="s">
        <v>7</v>
      </c>
      <c r="Q41" s="1" t="s">
        <v>557</v>
      </c>
      <c r="R41">
        <v>3</v>
      </c>
      <c r="S41">
        <v>1800</v>
      </c>
      <c r="T41">
        <v>0</v>
      </c>
      <c r="U41">
        <v>300</v>
      </c>
      <c r="V41">
        <v>0</v>
      </c>
      <c r="W41">
        <v>5700</v>
      </c>
      <c r="X41" s="1"/>
      <c r="Y41">
        <v>0</v>
      </c>
      <c r="Z41" s="1"/>
      <c r="AA41">
        <v>0</v>
      </c>
      <c r="AB41" s="1" t="s">
        <v>92</v>
      </c>
      <c r="AC41" s="1"/>
      <c r="AD41" s="1"/>
      <c r="AE41" s="1" t="s">
        <v>307</v>
      </c>
      <c r="AF41" s="3">
        <v>45698.458333333336</v>
      </c>
      <c r="AG41" s="3">
        <v>46070.678912037038</v>
      </c>
      <c r="AH41" s="1" t="s">
        <v>179</v>
      </c>
      <c r="AI41" s="2"/>
      <c r="AJ41" s="3"/>
      <c r="AK41" s="1"/>
      <c r="AL41" s="1"/>
      <c r="AM41" s="1"/>
      <c r="AN41" s="1"/>
      <c r="AO41" s="3"/>
      <c r="AP41" s="1" t="s">
        <v>311</v>
      </c>
      <c r="AQ41">
        <v>5700</v>
      </c>
      <c r="AR41">
        <v>0</v>
      </c>
      <c r="AS41">
        <v>0</v>
      </c>
      <c r="AT41">
        <v>0</v>
      </c>
      <c r="AU41" s="1" t="s">
        <v>312</v>
      </c>
      <c r="AV41" s="3"/>
      <c r="AW41" s="1" t="s">
        <v>312</v>
      </c>
      <c r="AX41" s="3"/>
    </row>
    <row r="42" spans="1:50" x14ac:dyDescent="0.25">
      <c r="A42">
        <v>143</v>
      </c>
      <c r="B42" s="1" t="s">
        <v>558</v>
      </c>
      <c r="C42" s="1" t="s">
        <v>54</v>
      </c>
      <c r="D42" s="1" t="s">
        <v>55</v>
      </c>
      <c r="E42" s="1" t="s">
        <v>56</v>
      </c>
      <c r="F42">
        <v>0</v>
      </c>
      <c r="G42">
        <v>3</v>
      </c>
      <c r="H42">
        <v>20</v>
      </c>
      <c r="I42">
        <v>2025</v>
      </c>
      <c r="J42" s="2">
        <v>45740</v>
      </c>
      <c r="K42" s="4">
        <v>0.33333333333333331</v>
      </c>
      <c r="L42" s="4">
        <v>0.75</v>
      </c>
      <c r="M42" s="1" t="s">
        <v>559</v>
      </c>
      <c r="N42" s="1" t="s">
        <v>559</v>
      </c>
      <c r="O42" s="1" t="s">
        <v>161</v>
      </c>
      <c r="P42" s="1" t="s">
        <v>560</v>
      </c>
      <c r="Q42" s="1" t="s">
        <v>561</v>
      </c>
      <c r="R42">
        <v>4</v>
      </c>
      <c r="S42">
        <v>2500</v>
      </c>
      <c r="T42">
        <v>0</v>
      </c>
      <c r="U42">
        <v>400</v>
      </c>
      <c r="V42">
        <v>0</v>
      </c>
      <c r="W42">
        <v>10400</v>
      </c>
      <c r="X42" s="1"/>
      <c r="Y42">
        <v>0</v>
      </c>
      <c r="Z42" s="1"/>
      <c r="AA42">
        <v>0</v>
      </c>
      <c r="AB42" s="1" t="s">
        <v>92</v>
      </c>
      <c r="AC42" s="1"/>
      <c r="AD42" s="1"/>
      <c r="AE42" s="1" t="s">
        <v>307</v>
      </c>
      <c r="AF42" s="3">
        <v>45731.375</v>
      </c>
      <c r="AG42" s="3">
        <v>46070.678912037038</v>
      </c>
      <c r="AH42" s="1" t="s">
        <v>179</v>
      </c>
      <c r="AI42" s="2"/>
      <c r="AJ42" s="3"/>
      <c r="AK42" s="1"/>
      <c r="AL42" s="1"/>
      <c r="AM42" s="1"/>
      <c r="AN42" s="1"/>
      <c r="AO42" s="3"/>
      <c r="AP42" s="1" t="s">
        <v>311</v>
      </c>
      <c r="AQ42">
        <v>10400</v>
      </c>
      <c r="AR42">
        <v>0</v>
      </c>
      <c r="AS42">
        <v>0</v>
      </c>
      <c r="AT42">
        <v>0</v>
      </c>
      <c r="AU42" s="1" t="s">
        <v>312</v>
      </c>
      <c r="AV42" s="3"/>
      <c r="AW42" s="1" t="s">
        <v>312</v>
      </c>
      <c r="AX42" s="3"/>
    </row>
    <row r="43" spans="1:50" x14ac:dyDescent="0.25">
      <c r="A43">
        <v>144</v>
      </c>
      <c r="B43" s="1" t="s">
        <v>562</v>
      </c>
      <c r="C43" s="1" t="s">
        <v>54</v>
      </c>
      <c r="D43" s="1" t="s">
        <v>55</v>
      </c>
      <c r="E43" s="1" t="s">
        <v>56</v>
      </c>
      <c r="F43">
        <v>0</v>
      </c>
      <c r="G43">
        <v>4</v>
      </c>
      <c r="H43">
        <v>12</v>
      </c>
      <c r="I43">
        <v>2025</v>
      </c>
      <c r="J43" s="2">
        <v>45762</v>
      </c>
      <c r="K43" s="4">
        <v>0.375</v>
      </c>
      <c r="L43" s="4">
        <v>0.70833333333333337</v>
      </c>
      <c r="M43" s="1" t="s">
        <v>552</v>
      </c>
      <c r="N43" s="1" t="s">
        <v>552</v>
      </c>
      <c r="O43" s="1" t="s">
        <v>305</v>
      </c>
      <c r="P43" s="1" t="s">
        <v>200</v>
      </c>
      <c r="Q43" s="1" t="s">
        <v>563</v>
      </c>
      <c r="R43">
        <v>3</v>
      </c>
      <c r="S43">
        <v>2000</v>
      </c>
      <c r="T43">
        <v>0</v>
      </c>
      <c r="U43">
        <v>300</v>
      </c>
      <c r="V43">
        <v>0</v>
      </c>
      <c r="W43">
        <v>6300</v>
      </c>
      <c r="X43" s="1"/>
      <c r="Y43">
        <v>0</v>
      </c>
      <c r="Z43" s="1"/>
      <c r="AA43">
        <v>0</v>
      </c>
      <c r="AB43" s="1" t="s">
        <v>92</v>
      </c>
      <c r="AC43" s="1"/>
      <c r="AD43" s="1"/>
      <c r="AE43" s="1" t="s">
        <v>307</v>
      </c>
      <c r="AF43" s="3">
        <v>45755.416666666664</v>
      </c>
      <c r="AG43" s="3">
        <v>46070.678912037038</v>
      </c>
      <c r="AH43" s="1" t="s">
        <v>179</v>
      </c>
      <c r="AI43" s="2"/>
      <c r="AJ43" s="3"/>
      <c r="AK43" s="1"/>
      <c r="AL43" s="1"/>
      <c r="AM43" s="1"/>
      <c r="AN43" s="1"/>
      <c r="AO43" s="3"/>
      <c r="AP43" s="1" t="s">
        <v>311</v>
      </c>
      <c r="AQ43">
        <v>6300</v>
      </c>
      <c r="AR43">
        <v>0</v>
      </c>
      <c r="AS43">
        <v>0</v>
      </c>
      <c r="AT43">
        <v>0</v>
      </c>
      <c r="AU43" s="1" t="s">
        <v>312</v>
      </c>
      <c r="AV43" s="3"/>
      <c r="AW43" s="1" t="s">
        <v>312</v>
      </c>
      <c r="AX43" s="3"/>
    </row>
    <row r="44" spans="1:50" x14ac:dyDescent="0.25">
      <c r="A44">
        <v>145</v>
      </c>
      <c r="B44" s="1" t="s">
        <v>564</v>
      </c>
      <c r="C44" s="1" t="s">
        <v>54</v>
      </c>
      <c r="D44" s="1" t="s">
        <v>55</v>
      </c>
      <c r="E44" s="1" t="s">
        <v>56</v>
      </c>
      <c r="F44">
        <v>0</v>
      </c>
      <c r="G44">
        <v>5</v>
      </c>
      <c r="H44">
        <v>18</v>
      </c>
      <c r="I44">
        <v>2025</v>
      </c>
      <c r="J44" s="2">
        <v>45798</v>
      </c>
      <c r="K44" s="4">
        <v>0.41666666666666669</v>
      </c>
      <c r="L44" s="4">
        <v>0.75</v>
      </c>
      <c r="M44" s="1" t="s">
        <v>565</v>
      </c>
      <c r="N44" s="1" t="s">
        <v>565</v>
      </c>
      <c r="O44" s="1" t="s">
        <v>305</v>
      </c>
      <c r="P44" s="1" t="s">
        <v>566</v>
      </c>
      <c r="Q44" s="1" t="s">
        <v>567</v>
      </c>
      <c r="R44">
        <v>3</v>
      </c>
      <c r="S44">
        <v>1700</v>
      </c>
      <c r="T44">
        <v>0</v>
      </c>
      <c r="U44">
        <v>300</v>
      </c>
      <c r="V44">
        <v>0</v>
      </c>
      <c r="W44">
        <v>5400</v>
      </c>
      <c r="X44" s="1"/>
      <c r="Y44">
        <v>0</v>
      </c>
      <c r="Z44" s="1"/>
      <c r="AA44">
        <v>0</v>
      </c>
      <c r="AB44" s="1" t="s">
        <v>92</v>
      </c>
      <c r="AC44" s="1"/>
      <c r="AD44" s="1"/>
      <c r="AE44" s="1" t="s">
        <v>307</v>
      </c>
      <c r="AF44" s="3">
        <v>45791.458333333336</v>
      </c>
      <c r="AG44" s="3">
        <v>46070.678912037038</v>
      </c>
      <c r="AH44" s="1" t="s">
        <v>179</v>
      </c>
      <c r="AI44" s="2"/>
      <c r="AJ44" s="3"/>
      <c r="AK44" s="1"/>
      <c r="AL44" s="1"/>
      <c r="AM44" s="1"/>
      <c r="AN44" s="1"/>
      <c r="AO44" s="3"/>
      <c r="AP44" s="1" t="s">
        <v>311</v>
      </c>
      <c r="AQ44">
        <v>5400</v>
      </c>
      <c r="AR44">
        <v>0</v>
      </c>
      <c r="AS44">
        <v>0</v>
      </c>
      <c r="AT44">
        <v>0</v>
      </c>
      <c r="AU44" s="1" t="s">
        <v>312</v>
      </c>
      <c r="AV44" s="3"/>
      <c r="AW44" s="1" t="s">
        <v>312</v>
      </c>
      <c r="AX44" s="3"/>
    </row>
    <row r="45" spans="1:50" x14ac:dyDescent="0.25">
      <c r="A45">
        <v>146</v>
      </c>
      <c r="B45" s="1" t="s">
        <v>568</v>
      </c>
      <c r="C45" s="1" t="s">
        <v>60</v>
      </c>
      <c r="D45" s="1" t="s">
        <v>61</v>
      </c>
      <c r="E45" s="1" t="s">
        <v>62</v>
      </c>
      <c r="F45">
        <v>0</v>
      </c>
      <c r="G45">
        <v>1</v>
      </c>
      <c r="H45">
        <v>8</v>
      </c>
      <c r="I45">
        <v>2025</v>
      </c>
      <c r="J45" s="2">
        <v>45669</v>
      </c>
      <c r="K45" s="4">
        <v>0.33333333333333331</v>
      </c>
      <c r="L45" s="4">
        <v>0.70833333333333337</v>
      </c>
      <c r="M45" s="1" t="s">
        <v>556</v>
      </c>
      <c r="N45" s="1" t="s">
        <v>556</v>
      </c>
      <c r="O45" s="1" t="s">
        <v>305</v>
      </c>
      <c r="P45" s="1" t="s">
        <v>393</v>
      </c>
      <c r="Q45" s="1" t="s">
        <v>569</v>
      </c>
      <c r="R45">
        <v>4</v>
      </c>
      <c r="S45">
        <v>1600</v>
      </c>
      <c r="T45">
        <v>0</v>
      </c>
      <c r="U45">
        <v>400</v>
      </c>
      <c r="V45">
        <v>0</v>
      </c>
      <c r="W45">
        <v>6800</v>
      </c>
      <c r="X45" s="1"/>
      <c r="Y45">
        <v>0</v>
      </c>
      <c r="Z45" s="1"/>
      <c r="AA45">
        <v>0</v>
      </c>
      <c r="AB45" s="1" t="s">
        <v>92</v>
      </c>
      <c r="AC45" s="1"/>
      <c r="AD45" s="1"/>
      <c r="AE45" s="1" t="s">
        <v>307</v>
      </c>
      <c r="AF45" s="3">
        <v>45660.375</v>
      </c>
      <c r="AG45" s="3">
        <v>46070.678912037038</v>
      </c>
      <c r="AH45" s="1" t="s">
        <v>179</v>
      </c>
      <c r="AI45" s="2"/>
      <c r="AJ45" s="3"/>
      <c r="AK45" s="1"/>
      <c r="AL45" s="1"/>
      <c r="AM45" s="1"/>
      <c r="AN45" s="1"/>
      <c r="AO45" s="3"/>
      <c r="AP45" s="1" t="s">
        <v>311</v>
      </c>
      <c r="AQ45">
        <v>6800</v>
      </c>
      <c r="AR45">
        <v>0</v>
      </c>
      <c r="AS45">
        <v>0</v>
      </c>
      <c r="AT45">
        <v>0</v>
      </c>
      <c r="AU45" s="1" t="s">
        <v>312</v>
      </c>
      <c r="AV45" s="3"/>
      <c r="AW45" s="1" t="s">
        <v>312</v>
      </c>
      <c r="AX45" s="3"/>
    </row>
    <row r="46" spans="1:50" x14ac:dyDescent="0.25">
      <c r="A46">
        <v>147</v>
      </c>
      <c r="B46" s="1" t="s">
        <v>570</v>
      </c>
      <c r="C46" s="1" t="s">
        <v>60</v>
      </c>
      <c r="D46" s="1" t="s">
        <v>61</v>
      </c>
      <c r="E46" s="1" t="s">
        <v>62</v>
      </c>
      <c r="F46">
        <v>0</v>
      </c>
      <c r="G46">
        <v>2</v>
      </c>
      <c r="H46">
        <v>10</v>
      </c>
      <c r="I46">
        <v>2025</v>
      </c>
      <c r="J46" s="2">
        <v>45700</v>
      </c>
      <c r="K46" s="4">
        <v>0.375</v>
      </c>
      <c r="L46" s="4">
        <v>0.75</v>
      </c>
      <c r="M46" s="1" t="s">
        <v>552</v>
      </c>
      <c r="N46" s="1" t="s">
        <v>552</v>
      </c>
      <c r="O46" s="1" t="s">
        <v>571</v>
      </c>
      <c r="P46" s="1" t="s">
        <v>572</v>
      </c>
      <c r="Q46" s="1" t="s">
        <v>573</v>
      </c>
      <c r="R46">
        <v>2</v>
      </c>
      <c r="S46">
        <v>3500</v>
      </c>
      <c r="T46">
        <v>0</v>
      </c>
      <c r="U46">
        <v>200</v>
      </c>
      <c r="V46">
        <v>0</v>
      </c>
      <c r="W46">
        <v>7200</v>
      </c>
      <c r="X46" s="1"/>
      <c r="Y46">
        <v>0</v>
      </c>
      <c r="Z46" s="1"/>
      <c r="AA46">
        <v>0</v>
      </c>
      <c r="AB46" s="1" t="s">
        <v>92</v>
      </c>
      <c r="AC46" s="1"/>
      <c r="AD46" s="1"/>
      <c r="AE46" s="1" t="s">
        <v>307</v>
      </c>
      <c r="AF46" s="3">
        <v>45693.416666666664</v>
      </c>
      <c r="AG46" s="3">
        <v>46070.678912037038</v>
      </c>
      <c r="AH46" s="1" t="s">
        <v>179</v>
      </c>
      <c r="AI46" s="2"/>
      <c r="AJ46" s="3"/>
      <c r="AK46" s="1"/>
      <c r="AL46" s="1"/>
      <c r="AM46" s="1"/>
      <c r="AN46" s="1"/>
      <c r="AO46" s="3"/>
      <c r="AP46" s="1" t="s">
        <v>311</v>
      </c>
      <c r="AQ46">
        <v>7200</v>
      </c>
      <c r="AR46">
        <v>0</v>
      </c>
      <c r="AS46">
        <v>0</v>
      </c>
      <c r="AT46">
        <v>0</v>
      </c>
      <c r="AU46" s="1" t="s">
        <v>312</v>
      </c>
      <c r="AV46" s="3"/>
      <c r="AW46" s="1" t="s">
        <v>312</v>
      </c>
      <c r="AX46" s="3"/>
    </row>
    <row r="47" spans="1:50" x14ac:dyDescent="0.25">
      <c r="A47">
        <v>148</v>
      </c>
      <c r="B47" s="1" t="s">
        <v>574</v>
      </c>
      <c r="C47" s="1" t="s">
        <v>60</v>
      </c>
      <c r="D47" s="1" t="s">
        <v>61</v>
      </c>
      <c r="E47" s="1" t="s">
        <v>62</v>
      </c>
      <c r="F47">
        <v>0</v>
      </c>
      <c r="G47">
        <v>3</v>
      </c>
      <c r="H47">
        <v>15</v>
      </c>
      <c r="I47">
        <v>2025</v>
      </c>
      <c r="J47" s="2">
        <v>45734</v>
      </c>
      <c r="K47" s="4">
        <v>0.41666666666666669</v>
      </c>
      <c r="L47" s="4">
        <v>0.70833333333333337</v>
      </c>
      <c r="M47" s="1" t="s">
        <v>559</v>
      </c>
      <c r="N47" s="1" t="s">
        <v>559</v>
      </c>
      <c r="O47" s="1" t="s">
        <v>165</v>
      </c>
      <c r="P47" s="1" t="s">
        <v>575</v>
      </c>
      <c r="Q47" s="1" t="s">
        <v>576</v>
      </c>
      <c r="R47">
        <v>3</v>
      </c>
      <c r="S47">
        <v>3000</v>
      </c>
      <c r="T47">
        <v>0</v>
      </c>
      <c r="U47">
        <v>300</v>
      </c>
      <c r="V47">
        <v>0</v>
      </c>
      <c r="W47">
        <v>9300</v>
      </c>
      <c r="X47" s="1"/>
      <c r="Y47">
        <v>0</v>
      </c>
      <c r="Z47" s="1"/>
      <c r="AA47">
        <v>0</v>
      </c>
      <c r="AB47" s="1" t="s">
        <v>92</v>
      </c>
      <c r="AC47" s="1"/>
      <c r="AD47" s="1"/>
      <c r="AE47" s="1" t="s">
        <v>307</v>
      </c>
      <c r="AF47" s="3">
        <v>45726.458333333336</v>
      </c>
      <c r="AG47" s="3">
        <v>46070.678912037038</v>
      </c>
      <c r="AH47" s="1" t="s">
        <v>179</v>
      </c>
      <c r="AI47" s="2"/>
      <c r="AJ47" s="3"/>
      <c r="AK47" s="1"/>
      <c r="AL47" s="1"/>
      <c r="AM47" s="1"/>
      <c r="AN47" s="1"/>
      <c r="AO47" s="3"/>
      <c r="AP47" s="1" t="s">
        <v>311</v>
      </c>
      <c r="AQ47">
        <v>9300</v>
      </c>
      <c r="AR47">
        <v>0</v>
      </c>
      <c r="AS47">
        <v>0</v>
      </c>
      <c r="AT47">
        <v>0</v>
      </c>
      <c r="AU47" s="1" t="s">
        <v>312</v>
      </c>
      <c r="AV47" s="3"/>
      <c r="AW47" s="1" t="s">
        <v>312</v>
      </c>
      <c r="AX47" s="3"/>
    </row>
    <row r="48" spans="1:50" x14ac:dyDescent="0.25">
      <c r="A48">
        <v>149</v>
      </c>
      <c r="B48" s="1" t="s">
        <v>577</v>
      </c>
      <c r="C48" s="1" t="s">
        <v>60</v>
      </c>
      <c r="D48" s="1" t="s">
        <v>61</v>
      </c>
      <c r="E48" s="1" t="s">
        <v>62</v>
      </c>
      <c r="F48">
        <v>0</v>
      </c>
      <c r="G48">
        <v>4</v>
      </c>
      <c r="H48">
        <v>20</v>
      </c>
      <c r="I48">
        <v>2025</v>
      </c>
      <c r="J48" s="2">
        <v>45770</v>
      </c>
      <c r="K48" s="4">
        <v>0.33333333333333331</v>
      </c>
      <c r="L48" s="4">
        <v>0.75</v>
      </c>
      <c r="M48" s="1" t="s">
        <v>565</v>
      </c>
      <c r="N48" s="1" t="s">
        <v>565</v>
      </c>
      <c r="O48" s="1" t="s">
        <v>305</v>
      </c>
      <c r="P48" s="1" t="s">
        <v>578</v>
      </c>
      <c r="Q48" s="1" t="s">
        <v>579</v>
      </c>
      <c r="R48">
        <v>3</v>
      </c>
      <c r="S48">
        <v>1900</v>
      </c>
      <c r="T48">
        <v>0</v>
      </c>
      <c r="U48">
        <v>300</v>
      </c>
      <c r="V48">
        <v>0</v>
      </c>
      <c r="W48">
        <v>6000</v>
      </c>
      <c r="X48" s="1"/>
      <c r="Y48">
        <v>0</v>
      </c>
      <c r="Z48" s="1"/>
      <c r="AA48">
        <v>0</v>
      </c>
      <c r="AB48" s="1" t="s">
        <v>92</v>
      </c>
      <c r="AC48" s="1"/>
      <c r="AD48" s="1"/>
      <c r="AE48" s="1" t="s">
        <v>307</v>
      </c>
      <c r="AF48" s="3">
        <v>45763.375</v>
      </c>
      <c r="AG48" s="3">
        <v>46070.678912037038</v>
      </c>
      <c r="AH48" s="1" t="s">
        <v>179</v>
      </c>
      <c r="AI48" s="2"/>
      <c r="AJ48" s="3"/>
      <c r="AK48" s="1"/>
      <c r="AL48" s="1"/>
      <c r="AM48" s="1"/>
      <c r="AN48" s="1"/>
      <c r="AO48" s="3"/>
      <c r="AP48" s="1" t="s">
        <v>311</v>
      </c>
      <c r="AQ48">
        <v>6000</v>
      </c>
      <c r="AR48">
        <v>0</v>
      </c>
      <c r="AS48">
        <v>0</v>
      </c>
      <c r="AT48">
        <v>0</v>
      </c>
      <c r="AU48" s="1" t="s">
        <v>312</v>
      </c>
      <c r="AV48" s="3"/>
      <c r="AW48" s="1" t="s">
        <v>312</v>
      </c>
      <c r="AX48" s="3"/>
    </row>
    <row r="49" spans="1:50" x14ac:dyDescent="0.25">
      <c r="A49">
        <v>150</v>
      </c>
      <c r="B49" s="1" t="s">
        <v>580</v>
      </c>
      <c r="C49" s="1" t="s">
        <v>60</v>
      </c>
      <c r="D49" s="1" t="s">
        <v>61</v>
      </c>
      <c r="E49" s="1" t="s">
        <v>62</v>
      </c>
      <c r="F49">
        <v>0</v>
      </c>
      <c r="G49">
        <v>5</v>
      </c>
      <c r="H49">
        <v>25</v>
      </c>
      <c r="I49">
        <v>2025</v>
      </c>
      <c r="J49" s="2">
        <v>45805</v>
      </c>
      <c r="K49" s="4">
        <v>0.375</v>
      </c>
      <c r="L49" s="4">
        <v>0.70833333333333337</v>
      </c>
      <c r="M49" s="1" t="s">
        <v>581</v>
      </c>
      <c r="N49" s="1" t="s">
        <v>581</v>
      </c>
      <c r="O49" s="1" t="s">
        <v>305</v>
      </c>
      <c r="P49" s="1" t="s">
        <v>582</v>
      </c>
      <c r="Q49" s="1" t="s">
        <v>583</v>
      </c>
      <c r="R49">
        <v>3</v>
      </c>
      <c r="S49">
        <v>1800</v>
      </c>
      <c r="T49">
        <v>0</v>
      </c>
      <c r="U49">
        <v>300</v>
      </c>
      <c r="V49">
        <v>0</v>
      </c>
      <c r="W49">
        <v>5700</v>
      </c>
      <c r="X49" s="1"/>
      <c r="Y49">
        <v>0</v>
      </c>
      <c r="Z49" s="1"/>
      <c r="AA49">
        <v>0</v>
      </c>
      <c r="AB49" s="1" t="s">
        <v>92</v>
      </c>
      <c r="AC49" s="1"/>
      <c r="AD49" s="1"/>
      <c r="AE49" s="1" t="s">
        <v>307</v>
      </c>
      <c r="AF49" s="3">
        <v>45797.416666666664</v>
      </c>
      <c r="AG49" s="3">
        <v>46070.678912037038</v>
      </c>
      <c r="AH49" s="1" t="s">
        <v>179</v>
      </c>
      <c r="AI49" s="2"/>
      <c r="AJ49" s="3"/>
      <c r="AK49" s="1"/>
      <c r="AL49" s="1"/>
      <c r="AM49" s="1"/>
      <c r="AN49" s="1"/>
      <c r="AO49" s="3"/>
      <c r="AP49" s="1" t="s">
        <v>311</v>
      </c>
      <c r="AQ49">
        <v>5700</v>
      </c>
      <c r="AR49">
        <v>0</v>
      </c>
      <c r="AS49">
        <v>0</v>
      </c>
      <c r="AT49">
        <v>0</v>
      </c>
      <c r="AU49" s="1" t="s">
        <v>312</v>
      </c>
      <c r="AV49" s="3"/>
      <c r="AW49" s="1" t="s">
        <v>312</v>
      </c>
      <c r="AX49" s="3"/>
    </row>
    <row r="50" spans="1:50" x14ac:dyDescent="0.25">
      <c r="A50">
        <v>151</v>
      </c>
      <c r="B50" s="1" t="s">
        <v>584</v>
      </c>
      <c r="C50" s="1" t="s">
        <v>66</v>
      </c>
      <c r="D50" s="1" t="s">
        <v>67</v>
      </c>
      <c r="E50" s="1" t="s">
        <v>68</v>
      </c>
      <c r="F50">
        <v>0</v>
      </c>
      <c r="G50">
        <v>1</v>
      </c>
      <c r="H50">
        <v>12</v>
      </c>
      <c r="I50">
        <v>2025</v>
      </c>
      <c r="J50" s="2">
        <v>45673</v>
      </c>
      <c r="K50" s="4">
        <v>0.29166666666666669</v>
      </c>
      <c r="L50" s="4">
        <v>0.75</v>
      </c>
      <c r="M50" s="1" t="s">
        <v>559</v>
      </c>
      <c r="N50" s="1" t="s">
        <v>559</v>
      </c>
      <c r="O50" s="1" t="s">
        <v>161</v>
      </c>
      <c r="P50" s="1" t="s">
        <v>585</v>
      </c>
      <c r="Q50" s="1" t="s">
        <v>586</v>
      </c>
      <c r="R50">
        <v>4</v>
      </c>
      <c r="S50">
        <v>2800</v>
      </c>
      <c r="T50">
        <v>0</v>
      </c>
      <c r="U50">
        <v>400</v>
      </c>
      <c r="V50">
        <v>0</v>
      </c>
      <c r="W50">
        <v>11600</v>
      </c>
      <c r="X50" s="1"/>
      <c r="Y50">
        <v>0</v>
      </c>
      <c r="Z50" s="1"/>
      <c r="AA50">
        <v>0</v>
      </c>
      <c r="AB50" s="1" t="s">
        <v>92</v>
      </c>
      <c r="AC50" s="1"/>
      <c r="AD50" s="1"/>
      <c r="AE50" s="1" t="s">
        <v>307</v>
      </c>
      <c r="AF50" s="3">
        <v>45664.333333333336</v>
      </c>
      <c r="AG50" s="3">
        <v>46070.678912037038</v>
      </c>
      <c r="AH50" s="1" t="s">
        <v>179</v>
      </c>
      <c r="AI50" s="2"/>
      <c r="AJ50" s="3"/>
      <c r="AK50" s="1"/>
      <c r="AL50" s="1"/>
      <c r="AM50" s="1"/>
      <c r="AN50" s="1"/>
      <c r="AO50" s="3"/>
      <c r="AP50" s="1" t="s">
        <v>311</v>
      </c>
      <c r="AQ50">
        <v>11600</v>
      </c>
      <c r="AR50">
        <v>0</v>
      </c>
      <c r="AS50">
        <v>0</v>
      </c>
      <c r="AT50">
        <v>0</v>
      </c>
      <c r="AU50" s="1" t="s">
        <v>312</v>
      </c>
      <c r="AV50" s="3"/>
      <c r="AW50" s="1" t="s">
        <v>312</v>
      </c>
      <c r="AX50" s="3"/>
    </row>
    <row r="51" spans="1:50" x14ac:dyDescent="0.25">
      <c r="A51">
        <v>152</v>
      </c>
      <c r="B51" s="1" t="s">
        <v>587</v>
      </c>
      <c r="C51" s="1" t="s">
        <v>66</v>
      </c>
      <c r="D51" s="1" t="s">
        <v>67</v>
      </c>
      <c r="E51" s="1" t="s">
        <v>68</v>
      </c>
      <c r="F51">
        <v>0</v>
      </c>
      <c r="G51">
        <v>2</v>
      </c>
      <c r="H51">
        <v>18</v>
      </c>
      <c r="I51">
        <v>2025</v>
      </c>
      <c r="J51" s="2">
        <v>45708</v>
      </c>
      <c r="K51" s="4">
        <v>0.41666666666666669</v>
      </c>
      <c r="L51" s="4">
        <v>0.70833333333333337</v>
      </c>
      <c r="M51" s="1" t="s">
        <v>552</v>
      </c>
      <c r="N51" s="1" t="s">
        <v>552</v>
      </c>
      <c r="O51" s="1" t="s">
        <v>169</v>
      </c>
      <c r="P51" s="1" t="s">
        <v>588</v>
      </c>
      <c r="Q51" s="1" t="s">
        <v>589</v>
      </c>
      <c r="R51">
        <v>2</v>
      </c>
      <c r="S51">
        <v>4000</v>
      </c>
      <c r="T51">
        <v>0</v>
      </c>
      <c r="U51">
        <v>200</v>
      </c>
      <c r="V51">
        <v>0</v>
      </c>
      <c r="W51">
        <v>8200</v>
      </c>
      <c r="X51" s="1"/>
      <c r="Y51">
        <v>0</v>
      </c>
      <c r="Z51" s="1"/>
      <c r="AA51">
        <v>0</v>
      </c>
      <c r="AB51" s="1" t="s">
        <v>92</v>
      </c>
      <c r="AC51" s="1"/>
      <c r="AD51" s="1"/>
      <c r="AE51" s="1" t="s">
        <v>307</v>
      </c>
      <c r="AF51" s="3">
        <v>45701.375</v>
      </c>
      <c r="AG51" s="3">
        <v>46070.678912037038</v>
      </c>
      <c r="AH51" s="1" t="s">
        <v>179</v>
      </c>
      <c r="AI51" s="2"/>
      <c r="AJ51" s="3"/>
      <c r="AK51" s="1"/>
      <c r="AL51" s="1"/>
      <c r="AM51" s="1"/>
      <c r="AN51" s="1"/>
      <c r="AO51" s="3"/>
      <c r="AP51" s="1" t="s">
        <v>311</v>
      </c>
      <c r="AQ51">
        <v>8200</v>
      </c>
      <c r="AR51">
        <v>0</v>
      </c>
      <c r="AS51">
        <v>0</v>
      </c>
      <c r="AT51">
        <v>0</v>
      </c>
      <c r="AU51" s="1" t="s">
        <v>312</v>
      </c>
      <c r="AV51" s="3"/>
      <c r="AW51" s="1" t="s">
        <v>312</v>
      </c>
      <c r="AX51" s="3"/>
    </row>
    <row r="52" spans="1:50" x14ac:dyDescent="0.25">
      <c r="A52">
        <v>153</v>
      </c>
      <c r="B52" s="1" t="s">
        <v>590</v>
      </c>
      <c r="C52" s="1" t="s">
        <v>66</v>
      </c>
      <c r="D52" s="1" t="s">
        <v>67</v>
      </c>
      <c r="E52" s="1" t="s">
        <v>68</v>
      </c>
      <c r="F52">
        <v>0</v>
      </c>
      <c r="G52">
        <v>3</v>
      </c>
      <c r="H52">
        <v>22</v>
      </c>
      <c r="I52">
        <v>2025</v>
      </c>
      <c r="J52" s="2">
        <v>45741</v>
      </c>
      <c r="K52" s="4">
        <v>0.375</v>
      </c>
      <c r="L52" s="4">
        <v>0.75</v>
      </c>
      <c r="M52" s="1" t="s">
        <v>556</v>
      </c>
      <c r="N52" s="1" t="s">
        <v>556</v>
      </c>
      <c r="O52" s="1" t="s">
        <v>165</v>
      </c>
      <c r="P52" s="1" t="s">
        <v>591</v>
      </c>
      <c r="Q52" s="1" t="s">
        <v>592</v>
      </c>
      <c r="R52">
        <v>3</v>
      </c>
      <c r="S52">
        <v>3500</v>
      </c>
      <c r="T52">
        <v>0</v>
      </c>
      <c r="U52">
        <v>300</v>
      </c>
      <c r="V52">
        <v>0</v>
      </c>
      <c r="W52">
        <v>10800</v>
      </c>
      <c r="X52" s="1"/>
      <c r="Y52">
        <v>0</v>
      </c>
      <c r="Z52" s="1"/>
      <c r="AA52">
        <v>0</v>
      </c>
      <c r="AB52" s="1" t="s">
        <v>92</v>
      </c>
      <c r="AC52" s="1"/>
      <c r="AD52" s="1"/>
      <c r="AE52" s="1" t="s">
        <v>307</v>
      </c>
      <c r="AF52" s="3">
        <v>45733.416666666664</v>
      </c>
      <c r="AG52" s="3">
        <v>46070.678912037038</v>
      </c>
      <c r="AH52" s="1" t="s">
        <v>179</v>
      </c>
      <c r="AI52" s="2"/>
      <c r="AJ52" s="3"/>
      <c r="AK52" s="1"/>
      <c r="AL52" s="1"/>
      <c r="AM52" s="1"/>
      <c r="AN52" s="1"/>
      <c r="AO52" s="3"/>
      <c r="AP52" s="1" t="s">
        <v>311</v>
      </c>
      <c r="AQ52">
        <v>10800</v>
      </c>
      <c r="AR52">
        <v>0</v>
      </c>
      <c r="AS52">
        <v>0</v>
      </c>
      <c r="AT52">
        <v>0</v>
      </c>
      <c r="AU52" s="1" t="s">
        <v>312</v>
      </c>
      <c r="AV52" s="3"/>
      <c r="AW52" s="1" t="s">
        <v>312</v>
      </c>
      <c r="AX52" s="3"/>
    </row>
    <row r="53" spans="1:50" x14ac:dyDescent="0.25">
      <c r="A53">
        <v>154</v>
      </c>
      <c r="B53" s="1" t="s">
        <v>593</v>
      </c>
      <c r="C53" s="1" t="s">
        <v>66</v>
      </c>
      <c r="D53" s="1" t="s">
        <v>67</v>
      </c>
      <c r="E53" s="1" t="s">
        <v>68</v>
      </c>
      <c r="F53">
        <v>0</v>
      </c>
      <c r="G53">
        <v>4</v>
      </c>
      <c r="H53">
        <v>14</v>
      </c>
      <c r="I53">
        <v>2025</v>
      </c>
      <c r="J53" s="2">
        <v>45764</v>
      </c>
      <c r="K53" s="4">
        <v>0.33333333333333331</v>
      </c>
      <c r="L53" s="4">
        <v>0.70833333333333337</v>
      </c>
      <c r="M53" s="1" t="s">
        <v>565</v>
      </c>
      <c r="N53" s="1" t="s">
        <v>565</v>
      </c>
      <c r="O53" s="1" t="s">
        <v>165</v>
      </c>
      <c r="P53" s="1" t="s">
        <v>594</v>
      </c>
      <c r="Q53" s="1" t="s">
        <v>595</v>
      </c>
      <c r="R53">
        <v>3</v>
      </c>
      <c r="S53">
        <v>3200</v>
      </c>
      <c r="T53">
        <v>0</v>
      </c>
      <c r="U53">
        <v>300</v>
      </c>
      <c r="V53">
        <v>0</v>
      </c>
      <c r="W53">
        <v>9900</v>
      </c>
      <c r="X53" s="1"/>
      <c r="Y53">
        <v>0</v>
      </c>
      <c r="Z53" s="1"/>
      <c r="AA53">
        <v>0</v>
      </c>
      <c r="AB53" s="1" t="s">
        <v>92</v>
      </c>
      <c r="AC53" s="1"/>
      <c r="AD53" s="1"/>
      <c r="AE53" s="1" t="s">
        <v>307</v>
      </c>
      <c r="AF53" s="3">
        <v>45757.375</v>
      </c>
      <c r="AG53" s="3">
        <v>46070.678912037038</v>
      </c>
      <c r="AH53" s="1" t="s">
        <v>179</v>
      </c>
      <c r="AI53" s="2"/>
      <c r="AJ53" s="3"/>
      <c r="AK53" s="1"/>
      <c r="AL53" s="1"/>
      <c r="AM53" s="1"/>
      <c r="AN53" s="1"/>
      <c r="AO53" s="3"/>
      <c r="AP53" s="1" t="s">
        <v>311</v>
      </c>
      <c r="AQ53">
        <v>9900</v>
      </c>
      <c r="AR53">
        <v>0</v>
      </c>
      <c r="AS53">
        <v>0</v>
      </c>
      <c r="AT53">
        <v>0</v>
      </c>
      <c r="AU53" s="1" t="s">
        <v>312</v>
      </c>
      <c r="AV53" s="3"/>
      <c r="AW53" s="1" t="s">
        <v>312</v>
      </c>
      <c r="AX53" s="3"/>
    </row>
    <row r="54" spans="1:50" x14ac:dyDescent="0.25">
      <c r="A54">
        <v>155</v>
      </c>
      <c r="B54" s="1" t="s">
        <v>596</v>
      </c>
      <c r="C54" s="1" t="s">
        <v>66</v>
      </c>
      <c r="D54" s="1" t="s">
        <v>67</v>
      </c>
      <c r="E54" s="1" t="s">
        <v>68</v>
      </c>
      <c r="F54">
        <v>0</v>
      </c>
      <c r="G54">
        <v>5</v>
      </c>
      <c r="H54">
        <v>20</v>
      </c>
      <c r="I54">
        <v>2025</v>
      </c>
      <c r="J54" s="2">
        <v>45801</v>
      </c>
      <c r="K54" s="4">
        <v>0.41666666666666669</v>
      </c>
      <c r="L54" s="4">
        <v>0.75</v>
      </c>
      <c r="M54" s="1" t="s">
        <v>581</v>
      </c>
      <c r="N54" s="1" t="s">
        <v>581</v>
      </c>
      <c r="O54" s="1" t="s">
        <v>305</v>
      </c>
      <c r="P54" s="1" t="s">
        <v>597</v>
      </c>
      <c r="Q54" s="1" t="s">
        <v>598</v>
      </c>
      <c r="R54">
        <v>4</v>
      </c>
      <c r="S54">
        <v>1700</v>
      </c>
      <c r="T54">
        <v>0</v>
      </c>
      <c r="U54">
        <v>400</v>
      </c>
      <c r="V54">
        <v>0</v>
      </c>
      <c r="W54">
        <v>7200</v>
      </c>
      <c r="X54" s="1"/>
      <c r="Y54">
        <v>0</v>
      </c>
      <c r="Z54" s="1"/>
      <c r="AA54">
        <v>0</v>
      </c>
      <c r="AB54" s="1" t="s">
        <v>92</v>
      </c>
      <c r="AC54" s="1"/>
      <c r="AD54" s="1"/>
      <c r="AE54" s="1" t="s">
        <v>307</v>
      </c>
      <c r="AF54" s="3">
        <v>45793.458333333336</v>
      </c>
      <c r="AG54" s="3">
        <v>46070.678912037038</v>
      </c>
      <c r="AH54" s="1" t="s">
        <v>179</v>
      </c>
      <c r="AI54" s="2"/>
      <c r="AJ54" s="3"/>
      <c r="AK54" s="1"/>
      <c r="AL54" s="1"/>
      <c r="AM54" s="1"/>
      <c r="AN54" s="1"/>
      <c r="AO54" s="3"/>
      <c r="AP54" s="1" t="s">
        <v>311</v>
      </c>
      <c r="AQ54">
        <v>7200</v>
      </c>
      <c r="AR54">
        <v>0</v>
      </c>
      <c r="AS54">
        <v>0</v>
      </c>
      <c r="AT54">
        <v>0</v>
      </c>
      <c r="AU54" s="1" t="s">
        <v>312</v>
      </c>
      <c r="AV54" s="3"/>
      <c r="AW54" s="1" t="s">
        <v>312</v>
      </c>
      <c r="AX54" s="3"/>
    </row>
    <row r="55" spans="1:50" x14ac:dyDescent="0.25">
      <c r="A55">
        <v>156</v>
      </c>
      <c r="B55" s="1" t="s">
        <v>599</v>
      </c>
      <c r="C55" s="1" t="s">
        <v>72</v>
      </c>
      <c r="D55" s="1" t="s">
        <v>73</v>
      </c>
      <c r="E55" s="1" t="s">
        <v>74</v>
      </c>
      <c r="F55">
        <v>0</v>
      </c>
      <c r="G55">
        <v>1</v>
      </c>
      <c r="H55">
        <v>14</v>
      </c>
      <c r="I55">
        <v>2025</v>
      </c>
      <c r="J55" s="2">
        <v>45675</v>
      </c>
      <c r="K55" s="4">
        <v>0.375</v>
      </c>
      <c r="L55" s="4">
        <v>0.70833333333333337</v>
      </c>
      <c r="M55" s="1" t="s">
        <v>565</v>
      </c>
      <c r="N55" s="1" t="s">
        <v>565</v>
      </c>
      <c r="O55" s="1" t="s">
        <v>305</v>
      </c>
      <c r="P55" s="1" t="s">
        <v>553</v>
      </c>
      <c r="Q55" s="1" t="s">
        <v>554</v>
      </c>
      <c r="R55">
        <v>4</v>
      </c>
      <c r="S55">
        <v>1500</v>
      </c>
      <c r="T55">
        <v>0</v>
      </c>
      <c r="U55">
        <v>400</v>
      </c>
      <c r="V55">
        <v>0</v>
      </c>
      <c r="W55">
        <v>6400</v>
      </c>
      <c r="X55" s="1"/>
      <c r="Y55">
        <v>0</v>
      </c>
      <c r="Z55" s="1"/>
      <c r="AA55">
        <v>0</v>
      </c>
      <c r="AB55" s="1" t="s">
        <v>92</v>
      </c>
      <c r="AC55" s="1"/>
      <c r="AD55" s="1"/>
      <c r="AE55" s="1" t="s">
        <v>307</v>
      </c>
      <c r="AF55" s="3">
        <v>45666.416666666664</v>
      </c>
      <c r="AG55" s="3">
        <v>46070.678923611114</v>
      </c>
      <c r="AH55" s="1" t="s">
        <v>179</v>
      </c>
      <c r="AI55" s="2"/>
      <c r="AJ55" s="3"/>
      <c r="AK55" s="1"/>
      <c r="AL55" s="1"/>
      <c r="AM55" s="1"/>
      <c r="AN55" s="1"/>
      <c r="AO55" s="3"/>
      <c r="AP55" s="1" t="s">
        <v>311</v>
      </c>
      <c r="AQ55">
        <v>6400</v>
      </c>
      <c r="AR55">
        <v>0</v>
      </c>
      <c r="AS55">
        <v>0</v>
      </c>
      <c r="AT55">
        <v>0</v>
      </c>
      <c r="AU55" s="1" t="s">
        <v>312</v>
      </c>
      <c r="AV55" s="3"/>
      <c r="AW55" s="1" t="s">
        <v>312</v>
      </c>
      <c r="AX55" s="3"/>
    </row>
    <row r="56" spans="1:50" x14ac:dyDescent="0.25">
      <c r="A56">
        <v>157</v>
      </c>
      <c r="B56" s="1" t="s">
        <v>600</v>
      </c>
      <c r="C56" s="1" t="s">
        <v>72</v>
      </c>
      <c r="D56" s="1" t="s">
        <v>73</v>
      </c>
      <c r="E56" s="1" t="s">
        <v>74</v>
      </c>
      <c r="F56">
        <v>0</v>
      </c>
      <c r="G56">
        <v>2</v>
      </c>
      <c r="H56">
        <v>12</v>
      </c>
      <c r="I56">
        <v>2025</v>
      </c>
      <c r="J56" s="2">
        <v>45703</v>
      </c>
      <c r="K56" s="4">
        <v>0.33333333333333331</v>
      </c>
      <c r="L56" s="4">
        <v>0.75</v>
      </c>
      <c r="M56" s="1" t="s">
        <v>552</v>
      </c>
      <c r="N56" s="1" t="s">
        <v>552</v>
      </c>
      <c r="O56" s="1" t="s">
        <v>305</v>
      </c>
      <c r="P56" s="1" t="s">
        <v>7</v>
      </c>
      <c r="Q56" s="1" t="s">
        <v>557</v>
      </c>
      <c r="R56">
        <v>3</v>
      </c>
      <c r="S56">
        <v>1800</v>
      </c>
      <c r="T56">
        <v>0</v>
      </c>
      <c r="U56">
        <v>300</v>
      </c>
      <c r="V56">
        <v>0</v>
      </c>
      <c r="W56">
        <v>5700</v>
      </c>
      <c r="X56" s="1"/>
      <c r="Y56">
        <v>0</v>
      </c>
      <c r="Z56" s="1"/>
      <c r="AA56">
        <v>0</v>
      </c>
      <c r="AB56" s="1" t="s">
        <v>92</v>
      </c>
      <c r="AC56" s="1"/>
      <c r="AD56" s="1"/>
      <c r="AE56" s="1" t="s">
        <v>307</v>
      </c>
      <c r="AF56" s="3">
        <v>45696.375</v>
      </c>
      <c r="AG56" s="3">
        <v>46070.678923611114</v>
      </c>
      <c r="AH56" s="1" t="s">
        <v>179</v>
      </c>
      <c r="AI56" s="2"/>
      <c r="AJ56" s="3"/>
      <c r="AK56" s="1"/>
      <c r="AL56" s="1"/>
      <c r="AM56" s="1"/>
      <c r="AN56" s="1"/>
      <c r="AO56" s="3"/>
      <c r="AP56" s="1" t="s">
        <v>311</v>
      </c>
      <c r="AQ56">
        <v>5700</v>
      </c>
      <c r="AR56">
        <v>0</v>
      </c>
      <c r="AS56">
        <v>0</v>
      </c>
      <c r="AT56">
        <v>0</v>
      </c>
      <c r="AU56" s="1" t="s">
        <v>312</v>
      </c>
      <c r="AV56" s="3"/>
      <c r="AW56" s="1" t="s">
        <v>312</v>
      </c>
      <c r="AX56" s="3"/>
    </row>
    <row r="57" spans="1:50" x14ac:dyDescent="0.25">
      <c r="A57">
        <v>158</v>
      </c>
      <c r="B57" s="1" t="s">
        <v>601</v>
      </c>
      <c r="C57" s="1" t="s">
        <v>72</v>
      </c>
      <c r="D57" s="1" t="s">
        <v>73</v>
      </c>
      <c r="E57" s="1" t="s">
        <v>74</v>
      </c>
      <c r="F57">
        <v>0</v>
      </c>
      <c r="G57">
        <v>3</v>
      </c>
      <c r="H57">
        <v>18</v>
      </c>
      <c r="I57">
        <v>2025</v>
      </c>
      <c r="J57" s="2">
        <v>45737</v>
      </c>
      <c r="K57" s="4">
        <v>0.41666666666666669</v>
      </c>
      <c r="L57" s="4">
        <v>0.70833333333333337</v>
      </c>
      <c r="M57" s="1" t="s">
        <v>556</v>
      </c>
      <c r="N57" s="1" t="s">
        <v>556</v>
      </c>
      <c r="O57" s="1" t="s">
        <v>161</v>
      </c>
      <c r="P57" s="1" t="s">
        <v>560</v>
      </c>
      <c r="Q57" s="1" t="s">
        <v>561</v>
      </c>
      <c r="R57">
        <v>3</v>
      </c>
      <c r="S57">
        <v>2500</v>
      </c>
      <c r="T57">
        <v>0</v>
      </c>
      <c r="U57">
        <v>300</v>
      </c>
      <c r="V57">
        <v>0</v>
      </c>
      <c r="W57">
        <v>7800</v>
      </c>
      <c r="X57" s="1"/>
      <c r="Y57">
        <v>0</v>
      </c>
      <c r="Z57" s="1"/>
      <c r="AA57">
        <v>0</v>
      </c>
      <c r="AB57" s="1" t="s">
        <v>92</v>
      </c>
      <c r="AC57" s="1"/>
      <c r="AD57" s="1"/>
      <c r="AE57" s="1" t="s">
        <v>307</v>
      </c>
      <c r="AF57" s="3">
        <v>45729.458333333336</v>
      </c>
      <c r="AG57" s="3">
        <v>46070.678923611114</v>
      </c>
      <c r="AH57" s="1" t="s">
        <v>179</v>
      </c>
      <c r="AI57" s="2"/>
      <c r="AJ57" s="3"/>
      <c r="AK57" s="1"/>
      <c r="AL57" s="1"/>
      <c r="AM57" s="1"/>
      <c r="AN57" s="1"/>
      <c r="AO57" s="3"/>
      <c r="AP57" s="1" t="s">
        <v>311</v>
      </c>
      <c r="AQ57">
        <v>7800</v>
      </c>
      <c r="AR57">
        <v>0</v>
      </c>
      <c r="AS57">
        <v>0</v>
      </c>
      <c r="AT57">
        <v>0</v>
      </c>
      <c r="AU57" s="1" t="s">
        <v>312</v>
      </c>
      <c r="AV57" s="3"/>
      <c r="AW57" s="1" t="s">
        <v>312</v>
      </c>
      <c r="AX57" s="3"/>
    </row>
    <row r="58" spans="1:50" x14ac:dyDescent="0.25">
      <c r="A58">
        <v>159</v>
      </c>
      <c r="B58" s="1" t="s">
        <v>602</v>
      </c>
      <c r="C58" s="1" t="s">
        <v>72</v>
      </c>
      <c r="D58" s="1" t="s">
        <v>73</v>
      </c>
      <c r="E58" s="1" t="s">
        <v>74</v>
      </c>
      <c r="F58">
        <v>0</v>
      </c>
      <c r="G58">
        <v>4</v>
      </c>
      <c r="H58">
        <v>16</v>
      </c>
      <c r="I58">
        <v>2025</v>
      </c>
      <c r="J58" s="2">
        <v>45767</v>
      </c>
      <c r="K58" s="4">
        <v>0.375</v>
      </c>
      <c r="L58" s="4">
        <v>0.75</v>
      </c>
      <c r="M58" s="1" t="s">
        <v>559</v>
      </c>
      <c r="N58" s="1" t="s">
        <v>559</v>
      </c>
      <c r="O58" s="1" t="s">
        <v>305</v>
      </c>
      <c r="P58" s="1" t="s">
        <v>566</v>
      </c>
      <c r="Q58" s="1" t="s">
        <v>567</v>
      </c>
      <c r="R58">
        <v>4</v>
      </c>
      <c r="S58">
        <v>1700</v>
      </c>
      <c r="T58">
        <v>0</v>
      </c>
      <c r="U58">
        <v>400</v>
      </c>
      <c r="V58">
        <v>0</v>
      </c>
      <c r="W58">
        <v>7200</v>
      </c>
      <c r="X58" s="1"/>
      <c r="Y58">
        <v>0</v>
      </c>
      <c r="Z58" s="1"/>
      <c r="AA58">
        <v>0</v>
      </c>
      <c r="AB58" s="1" t="s">
        <v>92</v>
      </c>
      <c r="AC58" s="1"/>
      <c r="AD58" s="1"/>
      <c r="AE58" s="1" t="s">
        <v>307</v>
      </c>
      <c r="AF58" s="3">
        <v>45759.416666666664</v>
      </c>
      <c r="AG58" s="3">
        <v>46070.678923611114</v>
      </c>
      <c r="AH58" s="1" t="s">
        <v>179</v>
      </c>
      <c r="AI58" s="2"/>
      <c r="AJ58" s="3"/>
      <c r="AK58" s="1"/>
      <c r="AL58" s="1"/>
      <c r="AM58" s="1"/>
      <c r="AN58" s="1"/>
      <c r="AO58" s="3"/>
      <c r="AP58" s="1" t="s">
        <v>311</v>
      </c>
      <c r="AQ58">
        <v>7200</v>
      </c>
      <c r="AR58">
        <v>0</v>
      </c>
      <c r="AS58">
        <v>0</v>
      </c>
      <c r="AT58">
        <v>0</v>
      </c>
      <c r="AU58" s="1" t="s">
        <v>312</v>
      </c>
      <c r="AV58" s="3"/>
      <c r="AW58" s="1" t="s">
        <v>312</v>
      </c>
      <c r="AX58" s="3"/>
    </row>
    <row r="59" spans="1:50" x14ac:dyDescent="0.25">
      <c r="A59">
        <v>160</v>
      </c>
      <c r="B59" s="1" t="s">
        <v>603</v>
      </c>
      <c r="C59" s="1" t="s">
        <v>72</v>
      </c>
      <c r="D59" s="1" t="s">
        <v>73</v>
      </c>
      <c r="E59" s="1" t="s">
        <v>74</v>
      </c>
      <c r="F59">
        <v>0</v>
      </c>
      <c r="G59">
        <v>5</v>
      </c>
      <c r="H59">
        <v>22</v>
      </c>
      <c r="I59">
        <v>2025</v>
      </c>
      <c r="J59" s="2">
        <v>45802</v>
      </c>
      <c r="K59" s="4">
        <v>0.33333333333333331</v>
      </c>
      <c r="L59" s="4">
        <v>0.70833333333333337</v>
      </c>
      <c r="M59" s="1" t="s">
        <v>581</v>
      </c>
      <c r="N59" s="1" t="s">
        <v>581</v>
      </c>
      <c r="O59" s="1" t="s">
        <v>305</v>
      </c>
      <c r="P59" s="1" t="s">
        <v>393</v>
      </c>
      <c r="Q59" s="1" t="s">
        <v>569</v>
      </c>
      <c r="R59">
        <v>3</v>
      </c>
      <c r="S59">
        <v>1600</v>
      </c>
      <c r="T59">
        <v>0</v>
      </c>
      <c r="U59">
        <v>300</v>
      </c>
      <c r="V59">
        <v>0</v>
      </c>
      <c r="W59">
        <v>5100</v>
      </c>
      <c r="X59" s="1"/>
      <c r="Y59">
        <v>0</v>
      </c>
      <c r="Z59" s="1"/>
      <c r="AA59">
        <v>0</v>
      </c>
      <c r="AB59" s="1" t="s">
        <v>92</v>
      </c>
      <c r="AC59" s="1"/>
      <c r="AD59" s="1"/>
      <c r="AE59" s="1" t="s">
        <v>307</v>
      </c>
      <c r="AF59" s="3">
        <v>45795.375</v>
      </c>
      <c r="AG59" s="3">
        <v>46070.678923611114</v>
      </c>
      <c r="AH59" s="1" t="s">
        <v>179</v>
      </c>
      <c r="AI59" s="2"/>
      <c r="AJ59" s="3"/>
      <c r="AK59" s="1"/>
      <c r="AL59" s="1"/>
      <c r="AM59" s="1"/>
      <c r="AN59" s="1"/>
      <c r="AO59" s="3"/>
      <c r="AP59" s="1" t="s">
        <v>311</v>
      </c>
      <c r="AQ59">
        <v>5100</v>
      </c>
      <c r="AR59">
        <v>0</v>
      </c>
      <c r="AS59">
        <v>0</v>
      </c>
      <c r="AT59">
        <v>0</v>
      </c>
      <c r="AU59" s="1" t="s">
        <v>312</v>
      </c>
      <c r="AV59" s="3"/>
      <c r="AW59" s="1" t="s">
        <v>312</v>
      </c>
      <c r="AX59" s="3"/>
    </row>
    <row r="60" spans="1:50" x14ac:dyDescent="0.25">
      <c r="A60">
        <v>161</v>
      </c>
      <c r="B60" s="1" t="s">
        <v>604</v>
      </c>
      <c r="C60" s="1" t="s">
        <v>78</v>
      </c>
      <c r="D60" s="1" t="s">
        <v>79</v>
      </c>
      <c r="E60" s="1" t="s">
        <v>80</v>
      </c>
      <c r="F60">
        <v>0</v>
      </c>
      <c r="G60">
        <v>1</v>
      </c>
      <c r="H60">
        <v>16</v>
      </c>
      <c r="I60">
        <v>2025</v>
      </c>
      <c r="J60" s="2">
        <v>45676</v>
      </c>
      <c r="K60" s="4">
        <v>0.41666666666666669</v>
      </c>
      <c r="L60" s="4">
        <v>0.75</v>
      </c>
      <c r="M60" s="1" t="s">
        <v>581</v>
      </c>
      <c r="N60" s="1" t="s">
        <v>581</v>
      </c>
      <c r="O60" s="1" t="s">
        <v>305</v>
      </c>
      <c r="P60" s="1" t="s">
        <v>200</v>
      </c>
      <c r="Q60" s="1" t="s">
        <v>563</v>
      </c>
      <c r="R60">
        <v>3</v>
      </c>
      <c r="S60">
        <v>2000</v>
      </c>
      <c r="T60">
        <v>0</v>
      </c>
      <c r="U60">
        <v>300</v>
      </c>
      <c r="V60">
        <v>0</v>
      </c>
      <c r="W60">
        <v>6300</v>
      </c>
      <c r="X60" s="1"/>
      <c r="Y60">
        <v>0</v>
      </c>
      <c r="Z60" s="1"/>
      <c r="AA60">
        <v>0</v>
      </c>
      <c r="AB60" s="1" t="s">
        <v>92</v>
      </c>
      <c r="AC60" s="1"/>
      <c r="AD60" s="1"/>
      <c r="AE60" s="1" t="s">
        <v>307</v>
      </c>
      <c r="AF60" s="3">
        <v>45668.458333333336</v>
      </c>
      <c r="AG60" s="3">
        <v>46070.678923611114</v>
      </c>
      <c r="AH60" s="1" t="s">
        <v>179</v>
      </c>
      <c r="AI60" s="2"/>
      <c r="AJ60" s="3"/>
      <c r="AK60" s="1"/>
      <c r="AL60" s="1"/>
      <c r="AM60" s="1"/>
      <c r="AN60" s="1"/>
      <c r="AO60" s="3"/>
      <c r="AP60" s="1" t="s">
        <v>311</v>
      </c>
      <c r="AQ60">
        <v>6300</v>
      </c>
      <c r="AR60">
        <v>0</v>
      </c>
      <c r="AS60">
        <v>0</v>
      </c>
      <c r="AT60">
        <v>0</v>
      </c>
      <c r="AU60" s="1" t="s">
        <v>312</v>
      </c>
      <c r="AV60" s="3"/>
      <c r="AW60" s="1" t="s">
        <v>312</v>
      </c>
      <c r="AX60" s="3"/>
    </row>
    <row r="61" spans="1:50" x14ac:dyDescent="0.25">
      <c r="A61">
        <v>162</v>
      </c>
      <c r="B61" s="1" t="s">
        <v>605</v>
      </c>
      <c r="C61" s="1" t="s">
        <v>78</v>
      </c>
      <c r="D61" s="1" t="s">
        <v>79</v>
      </c>
      <c r="E61" s="1" t="s">
        <v>80</v>
      </c>
      <c r="F61">
        <v>0</v>
      </c>
      <c r="G61">
        <v>2</v>
      </c>
      <c r="H61">
        <v>20</v>
      </c>
      <c r="I61">
        <v>2025</v>
      </c>
      <c r="J61" s="2">
        <v>45711</v>
      </c>
      <c r="K61" s="4">
        <v>0.375</v>
      </c>
      <c r="L61" s="4">
        <v>0.70833333333333337</v>
      </c>
      <c r="M61" s="1" t="s">
        <v>559</v>
      </c>
      <c r="N61" s="1" t="s">
        <v>559</v>
      </c>
      <c r="O61" s="1" t="s">
        <v>165</v>
      </c>
      <c r="P61" s="1" t="s">
        <v>575</v>
      </c>
      <c r="Q61" s="1" t="s">
        <v>576</v>
      </c>
      <c r="R61">
        <v>3</v>
      </c>
      <c r="S61">
        <v>3000</v>
      </c>
      <c r="T61">
        <v>0</v>
      </c>
      <c r="U61">
        <v>300</v>
      </c>
      <c r="V61">
        <v>0</v>
      </c>
      <c r="W61">
        <v>9300</v>
      </c>
      <c r="X61" s="1"/>
      <c r="Y61">
        <v>0</v>
      </c>
      <c r="Z61" s="1"/>
      <c r="AA61">
        <v>0</v>
      </c>
      <c r="AB61" s="1" t="s">
        <v>92</v>
      </c>
      <c r="AC61" s="1"/>
      <c r="AD61" s="1"/>
      <c r="AE61" s="1" t="s">
        <v>307</v>
      </c>
      <c r="AF61" s="3">
        <v>45703.416666666664</v>
      </c>
      <c r="AG61" s="3">
        <v>46070.678923611114</v>
      </c>
      <c r="AH61" s="1" t="s">
        <v>179</v>
      </c>
      <c r="AI61" s="2"/>
      <c r="AJ61" s="3"/>
      <c r="AK61" s="1"/>
      <c r="AL61" s="1"/>
      <c r="AM61" s="1"/>
      <c r="AN61" s="1"/>
      <c r="AO61" s="3"/>
      <c r="AP61" s="1" t="s">
        <v>311</v>
      </c>
      <c r="AQ61">
        <v>9300</v>
      </c>
      <c r="AR61">
        <v>0</v>
      </c>
      <c r="AS61">
        <v>0</v>
      </c>
      <c r="AT61">
        <v>0</v>
      </c>
      <c r="AU61" s="1" t="s">
        <v>312</v>
      </c>
      <c r="AV61" s="3"/>
      <c r="AW61" s="1" t="s">
        <v>312</v>
      </c>
      <c r="AX61" s="3"/>
    </row>
    <row r="62" spans="1:50" x14ac:dyDescent="0.25">
      <c r="A62">
        <v>163</v>
      </c>
      <c r="B62" s="1" t="s">
        <v>606</v>
      </c>
      <c r="C62" s="1" t="s">
        <v>78</v>
      </c>
      <c r="D62" s="1" t="s">
        <v>79</v>
      </c>
      <c r="E62" s="1" t="s">
        <v>80</v>
      </c>
      <c r="F62">
        <v>0</v>
      </c>
      <c r="G62">
        <v>3</v>
      </c>
      <c r="H62">
        <v>24</v>
      </c>
      <c r="I62">
        <v>2025</v>
      </c>
      <c r="J62" s="2">
        <v>45743</v>
      </c>
      <c r="K62" s="4">
        <v>0.33333333333333331</v>
      </c>
      <c r="L62" s="4">
        <v>0.75</v>
      </c>
      <c r="M62" s="1" t="s">
        <v>552</v>
      </c>
      <c r="N62" s="1" t="s">
        <v>552</v>
      </c>
      <c r="O62" s="1" t="s">
        <v>161</v>
      </c>
      <c r="P62" s="1" t="s">
        <v>585</v>
      </c>
      <c r="Q62" s="1" t="s">
        <v>586</v>
      </c>
      <c r="R62">
        <v>3</v>
      </c>
      <c r="S62">
        <v>2800</v>
      </c>
      <c r="T62">
        <v>0</v>
      </c>
      <c r="U62">
        <v>300</v>
      </c>
      <c r="V62">
        <v>0</v>
      </c>
      <c r="W62">
        <v>8700</v>
      </c>
      <c r="X62" s="1"/>
      <c r="Y62">
        <v>0</v>
      </c>
      <c r="Z62" s="1"/>
      <c r="AA62">
        <v>0</v>
      </c>
      <c r="AB62" s="1" t="s">
        <v>92</v>
      </c>
      <c r="AC62" s="1"/>
      <c r="AD62" s="1"/>
      <c r="AE62" s="1" t="s">
        <v>307</v>
      </c>
      <c r="AF62" s="3">
        <v>45735.375</v>
      </c>
      <c r="AG62" s="3">
        <v>46070.678923611114</v>
      </c>
      <c r="AH62" s="1" t="s">
        <v>179</v>
      </c>
      <c r="AI62" s="2"/>
      <c r="AJ62" s="3"/>
      <c r="AK62" s="1"/>
      <c r="AL62" s="1"/>
      <c r="AM62" s="1"/>
      <c r="AN62" s="1"/>
      <c r="AO62" s="3"/>
      <c r="AP62" s="1" t="s">
        <v>311</v>
      </c>
      <c r="AQ62">
        <v>8700</v>
      </c>
      <c r="AR62">
        <v>0</v>
      </c>
      <c r="AS62">
        <v>0</v>
      </c>
      <c r="AT62">
        <v>0</v>
      </c>
      <c r="AU62" s="1" t="s">
        <v>312</v>
      </c>
      <c r="AV62" s="3"/>
      <c r="AW62" s="1" t="s">
        <v>312</v>
      </c>
      <c r="AX62" s="3"/>
    </row>
    <row r="63" spans="1:50" x14ac:dyDescent="0.25">
      <c r="A63">
        <v>164</v>
      </c>
      <c r="B63" s="1" t="s">
        <v>607</v>
      </c>
      <c r="C63" s="1" t="s">
        <v>78</v>
      </c>
      <c r="D63" s="1" t="s">
        <v>79</v>
      </c>
      <c r="E63" s="1" t="s">
        <v>80</v>
      </c>
      <c r="F63">
        <v>0</v>
      </c>
      <c r="G63">
        <v>4</v>
      </c>
      <c r="H63">
        <v>18</v>
      </c>
      <c r="I63">
        <v>2025</v>
      </c>
      <c r="J63" s="2">
        <v>45768</v>
      </c>
      <c r="K63" s="4">
        <v>0.41666666666666669</v>
      </c>
      <c r="L63" s="4">
        <v>0.70833333333333337</v>
      </c>
      <c r="M63" s="1" t="s">
        <v>556</v>
      </c>
      <c r="N63" s="1" t="s">
        <v>556</v>
      </c>
      <c r="O63" s="1" t="s">
        <v>305</v>
      </c>
      <c r="P63" s="1" t="s">
        <v>578</v>
      </c>
      <c r="Q63" s="1" t="s">
        <v>579</v>
      </c>
      <c r="R63">
        <v>3</v>
      </c>
      <c r="S63">
        <v>1900</v>
      </c>
      <c r="T63">
        <v>0</v>
      </c>
      <c r="U63">
        <v>300</v>
      </c>
      <c r="V63">
        <v>0</v>
      </c>
      <c r="W63">
        <v>6000</v>
      </c>
      <c r="X63" s="1"/>
      <c r="Y63">
        <v>0</v>
      </c>
      <c r="Z63" s="1"/>
      <c r="AA63">
        <v>0</v>
      </c>
      <c r="AB63" s="1" t="s">
        <v>92</v>
      </c>
      <c r="AC63" s="1"/>
      <c r="AD63" s="1"/>
      <c r="AE63" s="1" t="s">
        <v>307</v>
      </c>
      <c r="AF63" s="3">
        <v>45761.458333333336</v>
      </c>
      <c r="AG63" s="3">
        <v>46070.678923611114</v>
      </c>
      <c r="AH63" s="1" t="s">
        <v>179</v>
      </c>
      <c r="AI63" s="2"/>
      <c r="AJ63" s="3"/>
      <c r="AK63" s="1"/>
      <c r="AL63" s="1"/>
      <c r="AM63" s="1"/>
      <c r="AN63" s="1"/>
      <c r="AO63" s="3"/>
      <c r="AP63" s="1" t="s">
        <v>311</v>
      </c>
      <c r="AQ63">
        <v>6000</v>
      </c>
      <c r="AR63">
        <v>0</v>
      </c>
      <c r="AS63">
        <v>0</v>
      </c>
      <c r="AT63">
        <v>0</v>
      </c>
      <c r="AU63" s="1" t="s">
        <v>312</v>
      </c>
      <c r="AV63" s="3"/>
      <c r="AW63" s="1" t="s">
        <v>312</v>
      </c>
      <c r="AX63" s="3"/>
    </row>
    <row r="64" spans="1:50" x14ac:dyDescent="0.25">
      <c r="A64">
        <v>165</v>
      </c>
      <c r="B64" s="1" t="s">
        <v>608</v>
      </c>
      <c r="C64" s="1" t="s">
        <v>78</v>
      </c>
      <c r="D64" s="1" t="s">
        <v>79</v>
      </c>
      <c r="E64" s="1" t="s">
        <v>80</v>
      </c>
      <c r="F64">
        <v>0</v>
      </c>
      <c r="G64">
        <v>5</v>
      </c>
      <c r="H64">
        <v>26</v>
      </c>
      <c r="I64">
        <v>2025</v>
      </c>
      <c r="J64" s="2">
        <v>45806</v>
      </c>
      <c r="K64" s="4">
        <v>0.375</v>
      </c>
      <c r="L64" s="4">
        <v>0.75</v>
      </c>
      <c r="M64" s="1" t="s">
        <v>565</v>
      </c>
      <c r="N64" s="1" t="s">
        <v>565</v>
      </c>
      <c r="O64" s="1" t="s">
        <v>305</v>
      </c>
      <c r="P64" s="1" t="s">
        <v>582</v>
      </c>
      <c r="Q64" s="1" t="s">
        <v>583</v>
      </c>
      <c r="R64">
        <v>3</v>
      </c>
      <c r="S64">
        <v>1800</v>
      </c>
      <c r="T64">
        <v>0</v>
      </c>
      <c r="U64">
        <v>300</v>
      </c>
      <c r="V64">
        <v>0</v>
      </c>
      <c r="W64">
        <v>5700</v>
      </c>
      <c r="X64" s="1"/>
      <c r="Y64">
        <v>0</v>
      </c>
      <c r="Z64" s="1"/>
      <c r="AA64">
        <v>0</v>
      </c>
      <c r="AB64" s="1" t="s">
        <v>92</v>
      </c>
      <c r="AC64" s="1"/>
      <c r="AD64" s="1"/>
      <c r="AE64" s="1" t="s">
        <v>307</v>
      </c>
      <c r="AF64" s="3">
        <v>45799.416666666664</v>
      </c>
      <c r="AG64" s="3">
        <v>46070.678923611114</v>
      </c>
      <c r="AH64" s="1" t="s">
        <v>179</v>
      </c>
      <c r="AI64" s="2"/>
      <c r="AJ64" s="3"/>
      <c r="AK64" s="1"/>
      <c r="AL64" s="1"/>
      <c r="AM64" s="1"/>
      <c r="AN64" s="1"/>
      <c r="AO64" s="3"/>
      <c r="AP64" s="1" t="s">
        <v>311</v>
      </c>
      <c r="AQ64">
        <v>5700</v>
      </c>
      <c r="AR64">
        <v>0</v>
      </c>
      <c r="AS64">
        <v>0</v>
      </c>
      <c r="AT64">
        <v>0</v>
      </c>
      <c r="AU64" s="1" t="s">
        <v>312</v>
      </c>
      <c r="AV64" s="3"/>
      <c r="AW64" s="1" t="s">
        <v>312</v>
      </c>
      <c r="AX64" s="3"/>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8374-DB9B-434A-836E-C701E2369B70}">
  <dimension ref="A1:J3"/>
  <sheetViews>
    <sheetView workbookViewId="0">
      <selection activeCell="E3" sqref="E3"/>
    </sheetView>
  </sheetViews>
  <sheetFormatPr defaultRowHeight="15" x14ac:dyDescent="0.25"/>
  <cols>
    <col min="1" max="1" width="5" bestFit="1" customWidth="1"/>
    <col min="2" max="2" width="8.5703125" bestFit="1" customWidth="1"/>
    <col min="3" max="3" width="20.140625" bestFit="1" customWidth="1"/>
    <col min="4" max="4" width="13.28515625" bestFit="1" customWidth="1"/>
    <col min="5" max="5" width="6.85546875" bestFit="1" customWidth="1"/>
    <col min="6" max="6" width="20.140625" bestFit="1" customWidth="1"/>
    <col min="7" max="7" width="19.85546875" bestFit="1" customWidth="1"/>
    <col min="8" max="8" width="16.140625" bestFit="1" customWidth="1"/>
    <col min="9" max="9" width="10.85546875" bestFit="1" customWidth="1"/>
    <col min="10" max="10" width="14.85546875" bestFit="1" customWidth="1"/>
  </cols>
  <sheetData>
    <row r="1" spans="1:10" x14ac:dyDescent="0.25">
      <c r="A1" t="s">
        <v>0</v>
      </c>
      <c r="B1" t="s">
        <v>82</v>
      </c>
      <c r="C1" t="s">
        <v>83</v>
      </c>
      <c r="D1" t="s">
        <v>84</v>
      </c>
      <c r="E1" t="s">
        <v>85</v>
      </c>
      <c r="F1" t="s">
        <v>86</v>
      </c>
      <c r="G1" t="s">
        <v>87</v>
      </c>
      <c r="H1" t="s">
        <v>88</v>
      </c>
      <c r="I1" t="s">
        <v>19</v>
      </c>
      <c r="J1" t="s">
        <v>6</v>
      </c>
    </row>
    <row r="2" spans="1:10" x14ac:dyDescent="0.25">
      <c r="A2">
        <v>1</v>
      </c>
      <c r="B2">
        <v>7</v>
      </c>
      <c r="C2" s="1" t="s">
        <v>89</v>
      </c>
      <c r="D2" s="1" t="s">
        <v>90</v>
      </c>
      <c r="E2">
        <v>2340</v>
      </c>
      <c r="F2" s="2">
        <v>46066</v>
      </c>
      <c r="G2" s="2">
        <v>46074</v>
      </c>
      <c r="H2" s="1" t="s">
        <v>91</v>
      </c>
      <c r="I2" s="1" t="s">
        <v>92</v>
      </c>
      <c r="J2" s="3">
        <v>46066.466678240744</v>
      </c>
    </row>
    <row r="3" spans="1:10" x14ac:dyDescent="0.25">
      <c r="A3">
        <v>2</v>
      </c>
      <c r="B3">
        <v>30</v>
      </c>
      <c r="C3" s="1" t="s">
        <v>10</v>
      </c>
      <c r="D3" s="1" t="s">
        <v>93</v>
      </c>
      <c r="E3">
        <v>2500</v>
      </c>
      <c r="F3" s="2">
        <v>46070</v>
      </c>
      <c r="G3" s="2">
        <v>46070</v>
      </c>
      <c r="H3" s="1" t="s">
        <v>91</v>
      </c>
      <c r="I3" s="1" t="s">
        <v>92</v>
      </c>
      <c r="J3" s="3">
        <v>46070.493067129632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B236-15FB-41ED-8C27-3788ACCA6EA4}">
  <dimension ref="A1:G3"/>
  <sheetViews>
    <sheetView workbookViewId="0">
      <selection activeCell="C2" sqref="C2"/>
    </sheetView>
  </sheetViews>
  <sheetFormatPr defaultRowHeight="15" x14ac:dyDescent="0.25"/>
  <cols>
    <col min="1" max="1" width="5" bestFit="1" customWidth="1"/>
    <col min="2" max="2" width="12.5703125" bestFit="1" customWidth="1"/>
    <col min="3" max="3" width="13" bestFit="1" customWidth="1"/>
    <col min="4" max="4" width="12.42578125" bestFit="1" customWidth="1"/>
    <col min="5" max="5" width="10.28515625" bestFit="1" customWidth="1"/>
    <col min="6" max="6" width="16.140625" bestFit="1" customWidth="1"/>
    <col min="7" max="7" width="14.85546875" bestFit="1" customWidth="1"/>
  </cols>
  <sheetData>
    <row r="1" spans="1:7" x14ac:dyDescent="0.25">
      <c r="A1" t="s">
        <v>0</v>
      </c>
      <c r="B1" t="s">
        <v>1</v>
      </c>
      <c r="C1" t="s">
        <v>2</v>
      </c>
      <c r="D1" t="s">
        <v>3</v>
      </c>
      <c r="E1" t="s">
        <v>4</v>
      </c>
      <c r="F1" t="s">
        <v>5</v>
      </c>
      <c r="G1" t="s">
        <v>6</v>
      </c>
    </row>
    <row r="2" spans="1:7" x14ac:dyDescent="0.25">
      <c r="A2">
        <v>1</v>
      </c>
      <c r="B2" s="1" t="s">
        <v>7</v>
      </c>
      <c r="C2" s="2">
        <v>46070</v>
      </c>
      <c r="D2" s="2">
        <v>46071</v>
      </c>
      <c r="E2" s="1" t="s">
        <v>8</v>
      </c>
      <c r="F2" s="1" t="s">
        <v>9</v>
      </c>
      <c r="G2" s="3">
        <v>46070.515069444446</v>
      </c>
    </row>
    <row r="3" spans="1:7" x14ac:dyDescent="0.25">
      <c r="A3">
        <v>2</v>
      </c>
      <c r="B3" s="1" t="s">
        <v>7</v>
      </c>
      <c r="C3" s="2">
        <v>46070</v>
      </c>
      <c r="D3" s="2">
        <v>46108</v>
      </c>
      <c r="E3" s="1" t="s">
        <v>10</v>
      </c>
      <c r="F3" s="1" t="s">
        <v>9</v>
      </c>
      <c r="G3" s="3">
        <v>46070.531585648147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DD48-1D4E-4811-8407-8209493F5D46}">
  <dimension ref="A5:AF206"/>
  <sheetViews>
    <sheetView topLeftCell="A28" workbookViewId="0">
      <selection activeCell="A83" sqref="A83:B96"/>
    </sheetView>
  </sheetViews>
  <sheetFormatPr defaultRowHeight="15" x14ac:dyDescent="0.25"/>
  <cols>
    <col min="1" max="1" width="19.140625" bestFit="1" customWidth="1"/>
    <col min="2" max="2" width="16.28515625" bestFit="1" customWidth="1"/>
    <col min="3" max="3" width="7.85546875" bestFit="1" customWidth="1"/>
    <col min="4" max="5" width="13.42578125" bestFit="1" customWidth="1"/>
    <col min="6" max="6" width="16.5703125" bestFit="1" customWidth="1"/>
    <col min="7" max="7" width="12" bestFit="1" customWidth="1"/>
    <col min="8" max="9" width="13.28515625" bestFit="1" customWidth="1"/>
    <col min="10" max="10" width="11.28515625" bestFit="1" customWidth="1"/>
    <col min="11" max="11" width="11.42578125" bestFit="1" customWidth="1"/>
    <col min="12" max="12" width="15" bestFit="1" customWidth="1"/>
    <col min="13" max="13" width="14" bestFit="1" customWidth="1"/>
    <col min="14" max="14" width="10.7109375" bestFit="1" customWidth="1"/>
    <col min="15" max="15" width="8.28515625" bestFit="1" customWidth="1"/>
    <col min="16" max="16" width="11.28515625" bestFit="1" customWidth="1"/>
    <col min="17" max="17" width="22" bestFit="1" customWidth="1"/>
    <col min="18" max="18" width="21.85546875" bestFit="1" customWidth="1"/>
    <col min="19" max="19" width="24.28515625" bestFit="1" customWidth="1"/>
    <col min="20" max="20" width="13.28515625" bestFit="1" customWidth="1"/>
    <col min="21" max="21" width="11" bestFit="1" customWidth="1"/>
    <col min="22" max="22" width="12.5703125" bestFit="1" customWidth="1"/>
    <col min="23" max="23" width="13.42578125" bestFit="1" customWidth="1"/>
    <col min="24" max="24" width="22.5703125" bestFit="1" customWidth="1"/>
    <col min="25" max="25" width="13.140625" bestFit="1" customWidth="1"/>
    <col min="26" max="26" width="13.85546875" bestFit="1" customWidth="1"/>
    <col min="27" max="27" width="12.28515625" bestFit="1" customWidth="1"/>
    <col min="28" max="28" width="11.28515625" bestFit="1" customWidth="1"/>
    <col min="29" max="29" width="16.5703125" bestFit="1" customWidth="1"/>
    <col min="30" max="30" width="11.28515625" bestFit="1" customWidth="1"/>
    <col min="31" max="31" width="4.42578125" bestFit="1" customWidth="1"/>
    <col min="32" max="32" width="11.28515625" bestFit="1" customWidth="1"/>
  </cols>
  <sheetData>
    <row r="5" spans="1:30" x14ac:dyDescent="0.25">
      <c r="A5" s="5" t="s">
        <v>611</v>
      </c>
      <c r="B5" s="5" t="s">
        <v>612</v>
      </c>
    </row>
    <row r="6" spans="1:30" x14ac:dyDescent="0.25">
      <c r="A6" s="5" t="s">
        <v>609</v>
      </c>
      <c r="B6" t="s">
        <v>594</v>
      </c>
      <c r="C6" t="s">
        <v>416</v>
      </c>
      <c r="D6" t="s">
        <v>575</v>
      </c>
      <c r="E6" t="s">
        <v>241</v>
      </c>
      <c r="F6" t="s">
        <v>578</v>
      </c>
      <c r="G6" t="s">
        <v>220</v>
      </c>
      <c r="H6" t="s">
        <v>572</v>
      </c>
      <c r="I6" t="s">
        <v>211</v>
      </c>
      <c r="J6" t="s">
        <v>7</v>
      </c>
      <c r="K6" t="s">
        <v>228</v>
      </c>
      <c r="L6" t="s">
        <v>393</v>
      </c>
      <c r="M6" t="s">
        <v>585</v>
      </c>
      <c r="N6" t="s">
        <v>597</v>
      </c>
      <c r="O6" t="s">
        <v>180</v>
      </c>
      <c r="P6" t="s">
        <v>560</v>
      </c>
      <c r="Q6" t="s">
        <v>591</v>
      </c>
      <c r="R6" t="s">
        <v>263</v>
      </c>
      <c r="S6" t="s">
        <v>250</v>
      </c>
      <c r="T6" t="s">
        <v>566</v>
      </c>
      <c r="U6" t="s">
        <v>407</v>
      </c>
      <c r="V6" t="s">
        <v>258</v>
      </c>
      <c r="W6" t="s">
        <v>588</v>
      </c>
      <c r="X6" t="s">
        <v>168</v>
      </c>
      <c r="Y6" t="s">
        <v>200</v>
      </c>
      <c r="Z6" t="s">
        <v>553</v>
      </c>
      <c r="AA6" t="s">
        <v>237</v>
      </c>
      <c r="AB6" t="s">
        <v>206</v>
      </c>
      <c r="AC6" t="s">
        <v>582</v>
      </c>
      <c r="AD6" t="s">
        <v>610</v>
      </c>
    </row>
    <row r="7" spans="1:30" x14ac:dyDescent="0.25">
      <c r="A7" s="6" t="s">
        <v>157</v>
      </c>
      <c r="B7" s="1"/>
      <c r="C7" s="1"/>
      <c r="D7" s="1"/>
      <c r="E7" s="1"/>
      <c r="F7" s="1"/>
      <c r="G7" s="1"/>
      <c r="H7" s="1"/>
      <c r="I7" s="1"/>
      <c r="J7" s="1">
        <v>3</v>
      </c>
      <c r="K7" s="1"/>
      <c r="L7" s="1"/>
      <c r="M7" s="1"/>
      <c r="N7" s="1"/>
      <c r="O7" s="1">
        <v>2</v>
      </c>
      <c r="P7" s="1"/>
      <c r="Q7" s="1"/>
      <c r="R7" s="1"/>
      <c r="S7" s="1"/>
      <c r="T7" s="1"/>
      <c r="U7" s="1"/>
      <c r="V7" s="1"/>
      <c r="W7" s="1"/>
      <c r="X7" s="1"/>
      <c r="Y7" s="1"/>
      <c r="Z7" s="1"/>
      <c r="AA7" s="1"/>
      <c r="AB7" s="1">
        <v>2</v>
      </c>
      <c r="AC7" s="1"/>
      <c r="AD7" s="1">
        <v>7</v>
      </c>
    </row>
    <row r="8" spans="1:30" x14ac:dyDescent="0.25">
      <c r="A8" s="6" t="s">
        <v>169</v>
      </c>
      <c r="B8" s="1"/>
      <c r="C8" s="1"/>
      <c r="D8" s="1"/>
      <c r="E8" s="1"/>
      <c r="F8" s="1"/>
      <c r="G8" s="1"/>
      <c r="H8" s="1"/>
      <c r="I8" s="1"/>
      <c r="J8" s="1"/>
      <c r="K8" s="1"/>
      <c r="L8" s="1"/>
      <c r="M8" s="1"/>
      <c r="N8" s="1"/>
      <c r="O8" s="1"/>
      <c r="P8" s="1"/>
      <c r="Q8" s="1"/>
      <c r="R8" s="1"/>
      <c r="S8" s="1"/>
      <c r="T8" s="1"/>
      <c r="U8" s="1">
        <v>2</v>
      </c>
      <c r="V8" s="1"/>
      <c r="W8" s="1">
        <v>1</v>
      </c>
      <c r="X8" s="1">
        <v>3</v>
      </c>
      <c r="Y8" s="1"/>
      <c r="Z8" s="1"/>
      <c r="AA8" s="1"/>
      <c r="AB8" s="1"/>
      <c r="AC8" s="1"/>
      <c r="AD8" s="1">
        <v>6</v>
      </c>
    </row>
    <row r="9" spans="1:30" x14ac:dyDescent="0.25">
      <c r="A9" s="6" t="s">
        <v>165</v>
      </c>
      <c r="B9" s="1">
        <v>1</v>
      </c>
      <c r="C9" s="1">
        <v>2</v>
      </c>
      <c r="D9" s="1">
        <v>2</v>
      </c>
      <c r="E9" s="1">
        <v>3</v>
      </c>
      <c r="F9" s="1"/>
      <c r="G9" s="1"/>
      <c r="H9" s="1"/>
      <c r="I9" s="1"/>
      <c r="J9" s="1"/>
      <c r="K9" s="1"/>
      <c r="L9" s="1"/>
      <c r="M9" s="1"/>
      <c r="N9" s="1"/>
      <c r="O9" s="1"/>
      <c r="P9" s="1"/>
      <c r="Q9" s="1">
        <v>1</v>
      </c>
      <c r="R9" s="1">
        <v>2</v>
      </c>
      <c r="S9" s="1"/>
      <c r="T9" s="1"/>
      <c r="U9" s="1"/>
      <c r="V9" s="1"/>
      <c r="W9" s="1"/>
      <c r="X9" s="1"/>
      <c r="Y9" s="1"/>
      <c r="Z9" s="1"/>
      <c r="AA9" s="1"/>
      <c r="AB9" s="1"/>
      <c r="AC9" s="1"/>
      <c r="AD9" s="1">
        <v>11</v>
      </c>
    </row>
    <row r="10" spans="1:30" x14ac:dyDescent="0.25">
      <c r="A10" s="6" t="s">
        <v>305</v>
      </c>
      <c r="B10" s="1"/>
      <c r="C10" s="1"/>
      <c r="D10" s="1"/>
      <c r="E10" s="1"/>
      <c r="F10" s="1">
        <v>2</v>
      </c>
      <c r="G10" s="1"/>
      <c r="H10" s="1"/>
      <c r="I10" s="1">
        <v>2</v>
      </c>
      <c r="J10" s="1">
        <v>2</v>
      </c>
      <c r="K10" s="1"/>
      <c r="L10" s="1">
        <v>4</v>
      </c>
      <c r="M10" s="1"/>
      <c r="N10" s="1">
        <v>1</v>
      </c>
      <c r="O10" s="1"/>
      <c r="P10" s="1"/>
      <c r="Q10" s="1"/>
      <c r="R10" s="1"/>
      <c r="S10" s="1"/>
      <c r="T10" s="1">
        <v>2</v>
      </c>
      <c r="U10" s="1"/>
      <c r="V10" s="1"/>
      <c r="W10" s="1"/>
      <c r="X10" s="1"/>
      <c r="Y10" s="1">
        <v>5</v>
      </c>
      <c r="Z10" s="1">
        <v>2</v>
      </c>
      <c r="AA10" s="1"/>
      <c r="AB10" s="1"/>
      <c r="AC10" s="1">
        <v>2</v>
      </c>
      <c r="AD10" s="1">
        <v>22</v>
      </c>
    </row>
    <row r="11" spans="1:30" x14ac:dyDescent="0.25">
      <c r="A11" s="6" t="s">
        <v>571</v>
      </c>
      <c r="B11" s="1"/>
      <c r="C11" s="1"/>
      <c r="D11" s="1"/>
      <c r="E11" s="1"/>
      <c r="F11" s="1"/>
      <c r="G11" s="1"/>
      <c r="H11" s="1">
        <v>1</v>
      </c>
      <c r="I11" s="1"/>
      <c r="J11" s="1"/>
      <c r="K11" s="1"/>
      <c r="L11" s="1"/>
      <c r="M11" s="1"/>
      <c r="N11" s="1"/>
      <c r="O11" s="1"/>
      <c r="P11" s="1"/>
      <c r="Q11" s="1"/>
      <c r="R11" s="1"/>
      <c r="S11" s="1"/>
      <c r="T11" s="1"/>
      <c r="U11" s="1"/>
      <c r="V11" s="1"/>
      <c r="W11" s="1"/>
      <c r="X11" s="1"/>
      <c r="Y11" s="1"/>
      <c r="Z11" s="1"/>
      <c r="AA11" s="1"/>
      <c r="AB11" s="1"/>
      <c r="AC11" s="1"/>
      <c r="AD11" s="1">
        <v>1</v>
      </c>
    </row>
    <row r="12" spans="1:30" x14ac:dyDescent="0.25">
      <c r="A12" s="6" t="s">
        <v>161</v>
      </c>
      <c r="B12" s="1"/>
      <c r="C12" s="1"/>
      <c r="D12" s="1"/>
      <c r="E12" s="1"/>
      <c r="F12" s="1"/>
      <c r="G12" s="1">
        <v>2</v>
      </c>
      <c r="H12" s="1"/>
      <c r="I12" s="1"/>
      <c r="J12" s="1"/>
      <c r="K12" s="1">
        <v>3</v>
      </c>
      <c r="L12" s="1"/>
      <c r="M12" s="1">
        <v>2</v>
      </c>
      <c r="N12" s="1"/>
      <c r="O12" s="1"/>
      <c r="P12" s="1">
        <v>2</v>
      </c>
      <c r="Q12" s="1"/>
      <c r="R12" s="1"/>
      <c r="S12" s="1">
        <v>2</v>
      </c>
      <c r="T12" s="1"/>
      <c r="U12" s="1"/>
      <c r="V12" s="1"/>
      <c r="W12" s="1"/>
      <c r="X12" s="1"/>
      <c r="Y12" s="1"/>
      <c r="Z12" s="1"/>
      <c r="AA12" s="1"/>
      <c r="AB12" s="1"/>
      <c r="AC12" s="1"/>
      <c r="AD12" s="1">
        <v>11</v>
      </c>
    </row>
    <row r="13" spans="1:30" x14ac:dyDescent="0.25">
      <c r="A13" s="6" t="s">
        <v>341</v>
      </c>
      <c r="B13" s="1"/>
      <c r="C13" s="1"/>
      <c r="D13" s="1"/>
      <c r="E13" s="1"/>
      <c r="F13" s="1"/>
      <c r="G13" s="1"/>
      <c r="H13" s="1"/>
      <c r="I13" s="1"/>
      <c r="J13" s="1"/>
      <c r="K13" s="1"/>
      <c r="L13" s="1"/>
      <c r="M13" s="1"/>
      <c r="N13" s="1"/>
      <c r="O13" s="1"/>
      <c r="P13" s="1"/>
      <c r="Q13" s="1"/>
      <c r="R13" s="1"/>
      <c r="S13" s="1"/>
      <c r="T13" s="1"/>
      <c r="U13" s="1"/>
      <c r="V13" s="1">
        <v>2</v>
      </c>
      <c r="W13" s="1"/>
      <c r="X13" s="1"/>
      <c r="Y13" s="1"/>
      <c r="Z13" s="1"/>
      <c r="AA13" s="1">
        <v>3</v>
      </c>
      <c r="AB13" s="1"/>
      <c r="AC13" s="1"/>
      <c r="AD13" s="1">
        <v>5</v>
      </c>
    </row>
    <row r="14" spans="1:30" x14ac:dyDescent="0.25">
      <c r="A14" s="6" t="s">
        <v>610</v>
      </c>
      <c r="B14" s="1">
        <v>1</v>
      </c>
      <c r="C14" s="1">
        <v>2</v>
      </c>
      <c r="D14" s="1">
        <v>2</v>
      </c>
      <c r="E14" s="1">
        <v>3</v>
      </c>
      <c r="F14" s="1">
        <v>2</v>
      </c>
      <c r="G14" s="1">
        <v>2</v>
      </c>
      <c r="H14" s="1">
        <v>1</v>
      </c>
      <c r="I14" s="1">
        <v>2</v>
      </c>
      <c r="J14" s="1">
        <v>5</v>
      </c>
      <c r="K14" s="1">
        <v>3</v>
      </c>
      <c r="L14" s="1">
        <v>4</v>
      </c>
      <c r="M14" s="1">
        <v>2</v>
      </c>
      <c r="N14" s="1">
        <v>1</v>
      </c>
      <c r="O14" s="1">
        <v>2</v>
      </c>
      <c r="P14" s="1">
        <v>2</v>
      </c>
      <c r="Q14" s="1">
        <v>1</v>
      </c>
      <c r="R14" s="1">
        <v>2</v>
      </c>
      <c r="S14" s="1">
        <v>2</v>
      </c>
      <c r="T14" s="1">
        <v>2</v>
      </c>
      <c r="U14" s="1">
        <v>2</v>
      </c>
      <c r="V14" s="1">
        <v>2</v>
      </c>
      <c r="W14" s="1">
        <v>1</v>
      </c>
      <c r="X14" s="1">
        <v>3</v>
      </c>
      <c r="Y14" s="1">
        <v>5</v>
      </c>
      <c r="Z14" s="1">
        <v>2</v>
      </c>
      <c r="AA14" s="1">
        <v>3</v>
      </c>
      <c r="AB14" s="1">
        <v>2</v>
      </c>
      <c r="AC14" s="1">
        <v>2</v>
      </c>
      <c r="AD14" s="1">
        <v>63</v>
      </c>
    </row>
    <row r="19" spans="1:32" x14ac:dyDescent="0.25">
      <c r="A19" s="5" t="s">
        <v>611</v>
      </c>
      <c r="B19" s="5" t="s">
        <v>612</v>
      </c>
      <c r="N19" s="5" t="s">
        <v>611</v>
      </c>
      <c r="O19" s="5" t="s">
        <v>612</v>
      </c>
      <c r="T19" s="9" t="s">
        <v>615</v>
      </c>
      <c r="U19" s="9">
        <f>GETPIVOTDATA("booking_id",$A$5)</f>
        <v>63</v>
      </c>
      <c r="X19" s="5" t="s">
        <v>611</v>
      </c>
      <c r="Y19" s="5" t="s">
        <v>612</v>
      </c>
    </row>
    <row r="20" spans="1:32" x14ac:dyDescent="0.25">
      <c r="A20" s="5" t="s">
        <v>609</v>
      </c>
      <c r="B20" t="s">
        <v>157</v>
      </c>
      <c r="C20" t="s">
        <v>169</v>
      </c>
      <c r="D20" t="s">
        <v>165</v>
      </c>
      <c r="E20" t="s">
        <v>305</v>
      </c>
      <c r="F20" t="s">
        <v>571</v>
      </c>
      <c r="G20" t="s">
        <v>161</v>
      </c>
      <c r="H20" t="s">
        <v>341</v>
      </c>
      <c r="I20" t="s">
        <v>610</v>
      </c>
      <c r="N20" s="5" t="s">
        <v>609</v>
      </c>
      <c r="O20" t="s">
        <v>30</v>
      </c>
      <c r="P20" t="s">
        <v>326</v>
      </c>
      <c r="Q20" t="s">
        <v>92</v>
      </c>
      <c r="R20" t="s">
        <v>610</v>
      </c>
      <c r="X20" s="5" t="s">
        <v>609</v>
      </c>
      <c r="Y20" t="s">
        <v>157</v>
      </c>
      <c r="Z20" t="s">
        <v>169</v>
      </c>
      <c r="AA20" t="s">
        <v>165</v>
      </c>
      <c r="AB20" t="s">
        <v>305</v>
      </c>
      <c r="AC20" t="s">
        <v>571</v>
      </c>
      <c r="AD20" t="s">
        <v>161</v>
      </c>
      <c r="AE20" t="s">
        <v>341</v>
      </c>
      <c r="AF20" t="s">
        <v>610</v>
      </c>
    </row>
    <row r="21" spans="1:32" x14ac:dyDescent="0.25">
      <c r="A21" s="6" t="s">
        <v>239</v>
      </c>
      <c r="B21" s="1"/>
      <c r="C21" s="1"/>
      <c r="D21" s="1"/>
      <c r="E21" s="1"/>
      <c r="F21" s="1"/>
      <c r="G21" s="1"/>
      <c r="H21" s="1">
        <v>1</v>
      </c>
      <c r="I21" s="1">
        <v>1</v>
      </c>
      <c r="N21" s="6" t="s">
        <v>320</v>
      </c>
      <c r="O21" s="1">
        <v>3</v>
      </c>
      <c r="P21" s="1">
        <v>4</v>
      </c>
      <c r="Q21" s="1">
        <v>10</v>
      </c>
      <c r="R21" s="1">
        <v>17</v>
      </c>
      <c r="X21" s="6" t="s">
        <v>482</v>
      </c>
      <c r="Y21" s="1"/>
      <c r="Z21" s="1">
        <v>1</v>
      </c>
      <c r="AA21" s="1"/>
      <c r="AB21" s="1"/>
      <c r="AC21" s="1"/>
      <c r="AD21" s="1"/>
      <c r="AE21" s="1"/>
      <c r="AF21" s="1">
        <v>1</v>
      </c>
    </row>
    <row r="22" spans="1:32" x14ac:dyDescent="0.25">
      <c r="A22" s="6" t="s">
        <v>72</v>
      </c>
      <c r="B22" s="1"/>
      <c r="C22" s="1"/>
      <c r="D22" s="1"/>
      <c r="E22" s="1">
        <v>4</v>
      </c>
      <c r="F22" s="1"/>
      <c r="G22" s="1">
        <v>1</v>
      </c>
      <c r="H22" s="1"/>
      <c r="I22" s="1">
        <v>5</v>
      </c>
      <c r="N22" s="6" t="s">
        <v>311</v>
      </c>
      <c r="O22" s="1">
        <v>2</v>
      </c>
      <c r="P22" s="1">
        <v>6</v>
      </c>
      <c r="Q22" s="1">
        <v>38</v>
      </c>
      <c r="R22" s="1">
        <v>46</v>
      </c>
      <c r="X22" s="6" t="s">
        <v>347</v>
      </c>
      <c r="Y22" s="1"/>
      <c r="Z22" s="1">
        <v>1</v>
      </c>
      <c r="AA22" s="1"/>
      <c r="AB22" s="1"/>
      <c r="AC22" s="1"/>
      <c r="AD22" s="1"/>
      <c r="AE22" s="1"/>
      <c r="AF22" s="1">
        <v>1</v>
      </c>
    </row>
    <row r="23" spans="1:32" x14ac:dyDescent="0.25">
      <c r="A23" s="6" t="s">
        <v>208</v>
      </c>
      <c r="B23" s="1">
        <v>1</v>
      </c>
      <c r="C23" s="1"/>
      <c r="D23" s="1"/>
      <c r="E23" s="1"/>
      <c r="F23" s="1"/>
      <c r="G23" s="1"/>
      <c r="H23" s="1"/>
      <c r="I23" s="1">
        <v>1</v>
      </c>
      <c r="N23" s="6" t="s">
        <v>610</v>
      </c>
      <c r="O23" s="1">
        <v>5</v>
      </c>
      <c r="P23" s="1">
        <v>10</v>
      </c>
      <c r="Q23" s="1">
        <v>48</v>
      </c>
      <c r="R23" s="1">
        <v>63</v>
      </c>
      <c r="X23" s="6" t="s">
        <v>208</v>
      </c>
      <c r="Y23" s="1">
        <v>1</v>
      </c>
      <c r="Z23" s="1"/>
      <c r="AA23" s="1"/>
      <c r="AB23" s="1"/>
      <c r="AC23" s="1"/>
      <c r="AD23" s="1"/>
      <c r="AE23" s="1"/>
      <c r="AF23" s="1">
        <v>1</v>
      </c>
    </row>
    <row r="24" spans="1:32" x14ac:dyDescent="0.25">
      <c r="A24" s="6" t="s">
        <v>475</v>
      </c>
      <c r="B24" s="1">
        <v>1</v>
      </c>
      <c r="C24" s="1"/>
      <c r="D24" s="1"/>
      <c r="E24" s="1"/>
      <c r="F24" s="1"/>
      <c r="G24" s="1"/>
      <c r="H24" s="1"/>
      <c r="I24" s="1">
        <v>1</v>
      </c>
      <c r="X24" s="6" t="s">
        <v>503</v>
      </c>
      <c r="Y24" s="1"/>
      <c r="Z24" s="1"/>
      <c r="AA24" s="1"/>
      <c r="AB24" s="1"/>
      <c r="AC24" s="1"/>
      <c r="AD24" s="1">
        <v>1</v>
      </c>
      <c r="AE24" s="1"/>
      <c r="AF24" s="1">
        <v>1</v>
      </c>
    </row>
    <row r="25" spans="1:32" x14ac:dyDescent="0.25">
      <c r="A25" s="6" t="s">
        <v>252</v>
      </c>
      <c r="B25" s="1"/>
      <c r="C25" s="1"/>
      <c r="D25" s="1"/>
      <c r="E25" s="1"/>
      <c r="F25" s="1"/>
      <c r="G25" s="1">
        <v>1</v>
      </c>
      <c r="H25" s="1"/>
      <c r="I25" s="1">
        <v>1</v>
      </c>
      <c r="X25" s="6" t="s">
        <v>43</v>
      </c>
      <c r="Y25" s="1">
        <v>1</v>
      </c>
      <c r="Z25" s="1"/>
      <c r="AA25" s="1"/>
      <c r="AB25" s="1"/>
      <c r="AC25" s="1"/>
      <c r="AD25" s="1"/>
      <c r="AE25" s="1"/>
      <c r="AF25" s="1">
        <v>1</v>
      </c>
    </row>
    <row r="26" spans="1:32" x14ac:dyDescent="0.25">
      <c r="A26" s="6" t="s">
        <v>337</v>
      </c>
      <c r="B26" s="1"/>
      <c r="C26" s="1"/>
      <c r="D26" s="1"/>
      <c r="E26" s="1"/>
      <c r="F26" s="1"/>
      <c r="G26" s="1"/>
      <c r="H26" s="1">
        <v>1</v>
      </c>
      <c r="I26" s="1">
        <v>1</v>
      </c>
      <c r="X26" s="6" t="s">
        <v>475</v>
      </c>
      <c r="Y26" s="1">
        <v>1</v>
      </c>
      <c r="Z26" s="1"/>
      <c r="AA26" s="1"/>
      <c r="AB26" s="1"/>
      <c r="AC26" s="1"/>
      <c r="AD26" s="1"/>
      <c r="AE26" s="1"/>
      <c r="AF26" s="1">
        <v>1</v>
      </c>
    </row>
    <row r="27" spans="1:32" x14ac:dyDescent="0.25">
      <c r="A27" s="6" t="s">
        <v>389</v>
      </c>
      <c r="B27" s="1"/>
      <c r="C27" s="1"/>
      <c r="D27" s="1"/>
      <c r="E27" s="1">
        <v>1</v>
      </c>
      <c r="F27" s="1"/>
      <c r="G27" s="1"/>
      <c r="H27" s="1"/>
      <c r="I27" s="1">
        <v>1</v>
      </c>
      <c r="X27" s="6" t="s">
        <v>337</v>
      </c>
      <c r="Y27" s="1"/>
      <c r="Z27" s="1"/>
      <c r="AA27" s="1"/>
      <c r="AB27" s="1"/>
      <c r="AC27" s="1"/>
      <c r="AD27" s="1"/>
      <c r="AE27" s="1">
        <v>1</v>
      </c>
      <c r="AF27" s="1">
        <v>1</v>
      </c>
    </row>
    <row r="28" spans="1:32" x14ac:dyDescent="0.25">
      <c r="A28" s="6" t="s">
        <v>260</v>
      </c>
      <c r="B28" s="1"/>
      <c r="C28" s="1"/>
      <c r="D28" s="1"/>
      <c r="E28" s="1"/>
      <c r="F28" s="1"/>
      <c r="G28" s="1"/>
      <c r="H28" s="1">
        <v>1</v>
      </c>
      <c r="I28" s="1">
        <v>1</v>
      </c>
      <c r="X28" s="6" t="s">
        <v>260</v>
      </c>
      <c r="Y28" s="1"/>
      <c r="Z28" s="1"/>
      <c r="AA28" s="1"/>
      <c r="AB28" s="1"/>
      <c r="AC28" s="1"/>
      <c r="AD28" s="1"/>
      <c r="AE28" s="1">
        <v>1</v>
      </c>
      <c r="AF28" s="1">
        <v>1</v>
      </c>
    </row>
    <row r="29" spans="1:32" x14ac:dyDescent="0.25">
      <c r="A29" s="6" t="s">
        <v>412</v>
      </c>
      <c r="B29" s="1"/>
      <c r="C29" s="1"/>
      <c r="D29" s="1">
        <v>1</v>
      </c>
      <c r="E29" s="1"/>
      <c r="F29" s="1"/>
      <c r="G29" s="1"/>
      <c r="H29" s="1"/>
      <c r="I29" s="1">
        <v>1</v>
      </c>
      <c r="X29" s="6" t="s">
        <v>531</v>
      </c>
      <c r="Y29" s="1">
        <v>1</v>
      </c>
      <c r="Z29" s="1"/>
      <c r="AA29" s="1"/>
      <c r="AB29" s="1"/>
      <c r="AC29" s="1"/>
      <c r="AD29" s="1"/>
      <c r="AE29" s="1"/>
      <c r="AF29" s="1">
        <v>1</v>
      </c>
    </row>
    <row r="30" spans="1:32" x14ac:dyDescent="0.25">
      <c r="A30" s="6" t="s">
        <v>368</v>
      </c>
      <c r="B30" s="1"/>
      <c r="C30" s="1"/>
      <c r="D30" s="1">
        <v>1</v>
      </c>
      <c r="E30" s="1"/>
      <c r="F30" s="1"/>
      <c r="G30" s="1"/>
      <c r="H30" s="1"/>
      <c r="I30" s="1">
        <v>1</v>
      </c>
      <c r="N30" s="8" t="s">
        <v>326</v>
      </c>
      <c r="O30" s="8" t="s">
        <v>616</v>
      </c>
      <c r="P30" s="8" t="s">
        <v>92</v>
      </c>
      <c r="R30" s="8" t="s">
        <v>626</v>
      </c>
      <c r="X30" s="6" t="s">
        <v>265</v>
      </c>
      <c r="Y30" s="1"/>
      <c r="Z30" s="1"/>
      <c r="AA30" s="1">
        <v>1</v>
      </c>
      <c r="AB30" s="1"/>
      <c r="AC30" s="1"/>
      <c r="AD30" s="1"/>
      <c r="AE30" s="1"/>
      <c r="AF30" s="1">
        <v>1</v>
      </c>
    </row>
    <row r="31" spans="1:32" x14ac:dyDescent="0.25">
      <c r="A31" s="6" t="s">
        <v>217</v>
      </c>
      <c r="B31" s="1">
        <v>1</v>
      </c>
      <c r="C31" s="1"/>
      <c r="D31" s="1"/>
      <c r="E31" s="1"/>
      <c r="F31" s="1"/>
      <c r="G31" s="1"/>
      <c r="H31" s="1"/>
      <c r="I31" s="1">
        <v>1</v>
      </c>
      <c r="N31" s="9">
        <f>GETPIVOTDATA("booking_id",$N$19,"status","Cancelled")</f>
        <v>10</v>
      </c>
      <c r="O31" s="9"/>
      <c r="P31" s="9">
        <f>GETPIVOTDATA("booking_id",$N$19,"status","Completed")</f>
        <v>48</v>
      </c>
      <c r="R31" s="9">
        <f>GETPIVOTDATA("booking_id",$N$19,"status","Active")</f>
        <v>5</v>
      </c>
      <c r="X31" s="6" t="s">
        <v>368</v>
      </c>
      <c r="Y31" s="1"/>
      <c r="Z31" s="1"/>
      <c r="AA31" s="1">
        <v>1</v>
      </c>
      <c r="AB31" s="1"/>
      <c r="AC31" s="1"/>
      <c r="AD31" s="1"/>
      <c r="AE31" s="1"/>
      <c r="AF31" s="1">
        <v>1</v>
      </c>
    </row>
    <row r="32" spans="1:32" x14ac:dyDescent="0.25">
      <c r="A32" s="6" t="s">
        <v>517</v>
      </c>
      <c r="B32" s="1"/>
      <c r="C32" s="1"/>
      <c r="D32" s="1">
        <v>1</v>
      </c>
      <c r="E32" s="1"/>
      <c r="F32" s="1"/>
      <c r="G32" s="1"/>
      <c r="H32" s="1"/>
      <c r="I32" s="1">
        <v>1</v>
      </c>
      <c r="X32" s="6" t="s">
        <v>255</v>
      </c>
      <c r="Y32" s="1"/>
      <c r="Z32" s="1">
        <v>1</v>
      </c>
      <c r="AA32" s="1"/>
      <c r="AB32" s="1"/>
      <c r="AC32" s="1"/>
      <c r="AD32" s="1"/>
      <c r="AE32" s="1"/>
      <c r="AF32" s="1">
        <v>1</v>
      </c>
    </row>
    <row r="33" spans="1:32" x14ac:dyDescent="0.25">
      <c r="A33" s="6" t="s">
        <v>403</v>
      </c>
      <c r="B33" s="1"/>
      <c r="C33" s="1">
        <v>1</v>
      </c>
      <c r="D33" s="1"/>
      <c r="E33" s="1"/>
      <c r="F33" s="1"/>
      <c r="G33" s="1"/>
      <c r="H33" s="1"/>
      <c r="I33" s="1">
        <v>1</v>
      </c>
      <c r="X33" s="6" t="s">
        <v>517</v>
      </c>
      <c r="Y33" s="1"/>
      <c r="Z33" s="1"/>
      <c r="AA33" s="1">
        <v>1</v>
      </c>
      <c r="AB33" s="1"/>
      <c r="AC33" s="1"/>
      <c r="AD33" s="1"/>
      <c r="AE33" s="1"/>
      <c r="AF33" s="1">
        <v>1</v>
      </c>
    </row>
    <row r="34" spans="1:32" x14ac:dyDescent="0.25">
      <c r="A34" s="6" t="s">
        <v>222</v>
      </c>
      <c r="B34" s="1"/>
      <c r="C34" s="1"/>
      <c r="D34" s="1"/>
      <c r="E34" s="1"/>
      <c r="F34" s="1"/>
      <c r="G34" s="1">
        <v>1</v>
      </c>
      <c r="H34" s="1"/>
      <c r="I34" s="1">
        <v>1</v>
      </c>
      <c r="X34" s="6" t="s">
        <v>545</v>
      </c>
      <c r="Y34" s="1">
        <v>1</v>
      </c>
      <c r="Z34" s="1"/>
      <c r="AA34" s="1"/>
      <c r="AB34" s="1"/>
      <c r="AC34" s="1"/>
      <c r="AD34" s="1"/>
      <c r="AE34" s="1"/>
      <c r="AF34" s="1">
        <v>1</v>
      </c>
    </row>
    <row r="35" spans="1:32" x14ac:dyDescent="0.25">
      <c r="A35" s="6" t="s">
        <v>496</v>
      </c>
      <c r="B35" s="1"/>
      <c r="C35" s="1"/>
      <c r="D35" s="1"/>
      <c r="E35" s="1">
        <v>1</v>
      </c>
      <c r="F35" s="1"/>
      <c r="G35" s="1"/>
      <c r="H35" s="1"/>
      <c r="I35" s="1">
        <v>1</v>
      </c>
      <c r="X35" s="6" t="s">
        <v>222</v>
      </c>
      <c r="Y35" s="1"/>
      <c r="Z35" s="1"/>
      <c r="AA35" s="1"/>
      <c r="AB35" s="1"/>
      <c r="AC35" s="1"/>
      <c r="AD35" s="1">
        <v>1</v>
      </c>
      <c r="AE35" s="1"/>
      <c r="AF35" s="1">
        <v>1</v>
      </c>
    </row>
    <row r="36" spans="1:32" x14ac:dyDescent="0.25">
      <c r="A36" s="6" t="s">
        <v>247</v>
      </c>
      <c r="B36" s="1"/>
      <c r="C36" s="1"/>
      <c r="D36" s="1"/>
      <c r="E36" s="1">
        <v>1</v>
      </c>
      <c r="F36" s="1"/>
      <c r="G36" s="1"/>
      <c r="H36" s="1"/>
      <c r="I36" s="1">
        <v>1</v>
      </c>
      <c r="X36" s="6" t="s">
        <v>489</v>
      </c>
      <c r="Y36" s="1"/>
      <c r="Z36" s="1"/>
      <c r="AA36" s="1">
        <v>1</v>
      </c>
      <c r="AB36" s="1"/>
      <c r="AC36" s="1"/>
      <c r="AD36" s="1"/>
      <c r="AE36" s="1"/>
      <c r="AF36" s="1">
        <v>1</v>
      </c>
    </row>
    <row r="37" spans="1:32" x14ac:dyDescent="0.25">
      <c r="A37" s="6" t="s">
        <v>202</v>
      </c>
      <c r="B37" s="1"/>
      <c r="C37" s="1"/>
      <c r="D37" s="1"/>
      <c r="E37" s="1">
        <v>1</v>
      </c>
      <c r="F37" s="1"/>
      <c r="G37" s="1"/>
      <c r="H37" s="1"/>
      <c r="I37" s="1">
        <v>1</v>
      </c>
      <c r="X37" s="6" t="s">
        <v>524</v>
      </c>
      <c r="Y37" s="1"/>
      <c r="Z37" s="1">
        <v>1</v>
      </c>
      <c r="AA37" s="1"/>
      <c r="AB37" s="1"/>
      <c r="AC37" s="1"/>
      <c r="AD37" s="1"/>
      <c r="AE37" s="1"/>
      <c r="AF37" s="1">
        <v>1</v>
      </c>
    </row>
    <row r="38" spans="1:32" x14ac:dyDescent="0.25">
      <c r="A38" s="6" t="s">
        <v>54</v>
      </c>
      <c r="B38" s="1"/>
      <c r="C38" s="1"/>
      <c r="D38" s="1"/>
      <c r="E38" s="1">
        <v>4</v>
      </c>
      <c r="F38" s="1"/>
      <c r="G38" s="1">
        <v>1</v>
      </c>
      <c r="H38" s="1"/>
      <c r="I38" s="1">
        <v>5</v>
      </c>
      <c r="X38" s="6" t="s">
        <v>322</v>
      </c>
      <c r="Y38" s="1"/>
      <c r="Z38" s="1"/>
      <c r="AA38" s="1">
        <v>1</v>
      </c>
      <c r="AB38" s="1"/>
      <c r="AC38" s="1"/>
      <c r="AD38" s="1"/>
      <c r="AE38" s="1"/>
      <c r="AF38" s="1">
        <v>1</v>
      </c>
    </row>
    <row r="39" spans="1:32" x14ac:dyDescent="0.25">
      <c r="A39" s="6" t="s">
        <v>234</v>
      </c>
      <c r="B39" s="1">
        <v>1</v>
      </c>
      <c r="C39" s="1"/>
      <c r="D39" s="1"/>
      <c r="E39" s="1"/>
      <c r="F39" s="1"/>
      <c r="G39" s="1"/>
      <c r="H39" s="1"/>
      <c r="I39" s="1">
        <v>1</v>
      </c>
      <c r="X39" s="6" t="s">
        <v>252</v>
      </c>
      <c r="Y39" s="1"/>
      <c r="Z39" s="1"/>
      <c r="AA39" s="1"/>
      <c r="AB39" s="1"/>
      <c r="AC39" s="1"/>
      <c r="AD39" s="1">
        <v>1</v>
      </c>
      <c r="AE39" s="1"/>
      <c r="AF39" s="1">
        <v>1</v>
      </c>
    </row>
    <row r="40" spans="1:32" x14ac:dyDescent="0.25">
      <c r="A40" s="6" t="s">
        <v>524</v>
      </c>
      <c r="B40" s="1"/>
      <c r="C40" s="1">
        <v>1</v>
      </c>
      <c r="D40" s="1"/>
      <c r="E40" s="1"/>
      <c r="F40" s="1"/>
      <c r="G40" s="1"/>
      <c r="H40" s="1"/>
      <c r="I40" s="1">
        <v>1</v>
      </c>
      <c r="X40" s="6" t="s">
        <v>468</v>
      </c>
      <c r="Y40" s="1"/>
      <c r="Z40" s="1"/>
      <c r="AA40" s="1"/>
      <c r="AB40" s="1"/>
      <c r="AC40" s="1"/>
      <c r="AD40" s="1">
        <v>1</v>
      </c>
      <c r="AE40" s="1"/>
      <c r="AF40" s="1">
        <v>1</v>
      </c>
    </row>
    <row r="41" spans="1:32" x14ac:dyDescent="0.25">
      <c r="A41" s="6" t="s">
        <v>482</v>
      </c>
      <c r="B41" s="1"/>
      <c r="C41" s="1">
        <v>1</v>
      </c>
      <c r="D41" s="1"/>
      <c r="E41" s="1"/>
      <c r="F41" s="1"/>
      <c r="G41" s="1"/>
      <c r="H41" s="1"/>
      <c r="I41" s="1">
        <v>1</v>
      </c>
      <c r="X41" s="6" t="s">
        <v>217</v>
      </c>
      <c r="Y41" s="1">
        <v>1</v>
      </c>
      <c r="Z41" s="1"/>
      <c r="AA41" s="1"/>
      <c r="AB41" s="1"/>
      <c r="AC41" s="1"/>
      <c r="AD41" s="1"/>
      <c r="AE41" s="1"/>
      <c r="AF41" s="1">
        <v>1</v>
      </c>
    </row>
    <row r="42" spans="1:32" x14ac:dyDescent="0.25">
      <c r="A42" s="6" t="s">
        <v>347</v>
      </c>
      <c r="B42" s="1"/>
      <c r="C42" s="1">
        <v>1</v>
      </c>
      <c r="D42" s="1"/>
      <c r="E42" s="1"/>
      <c r="F42" s="1"/>
      <c r="G42" s="1"/>
      <c r="H42" s="1"/>
      <c r="I42" s="1">
        <v>1</v>
      </c>
      <c r="X42" s="6" t="s">
        <v>381</v>
      </c>
      <c r="Y42" s="1"/>
      <c r="Z42" s="1"/>
      <c r="AA42" s="1"/>
      <c r="AB42" s="1"/>
      <c r="AC42" s="1"/>
      <c r="AD42" s="1"/>
      <c r="AE42" s="1">
        <v>1</v>
      </c>
      <c r="AF42" s="1">
        <v>1</v>
      </c>
    </row>
    <row r="43" spans="1:32" x14ac:dyDescent="0.25">
      <c r="A43" s="6" t="s">
        <v>60</v>
      </c>
      <c r="B43" s="1"/>
      <c r="C43" s="1"/>
      <c r="D43" s="1">
        <v>1</v>
      </c>
      <c r="E43" s="1">
        <v>3</v>
      </c>
      <c r="F43" s="1">
        <v>1</v>
      </c>
      <c r="G43" s="1">
        <v>1</v>
      </c>
      <c r="H43" s="1"/>
      <c r="I43" s="1">
        <v>6</v>
      </c>
      <c r="X43" s="6" t="s">
        <v>234</v>
      </c>
      <c r="Y43" s="1">
        <v>1</v>
      </c>
      <c r="Z43" s="1"/>
      <c r="AA43" s="1"/>
      <c r="AB43" s="1"/>
      <c r="AC43" s="1"/>
      <c r="AD43" s="1"/>
      <c r="AE43" s="1"/>
      <c r="AF43" s="1">
        <v>1</v>
      </c>
    </row>
    <row r="44" spans="1:32" x14ac:dyDescent="0.25">
      <c r="A44" s="6" t="s">
        <v>226</v>
      </c>
      <c r="B44" s="1"/>
      <c r="C44" s="1"/>
      <c r="D44" s="1"/>
      <c r="E44" s="1">
        <v>1</v>
      </c>
      <c r="F44" s="1"/>
      <c r="G44" s="1"/>
      <c r="H44" s="1"/>
      <c r="I44" s="1">
        <v>1</v>
      </c>
      <c r="X44" s="6" t="s">
        <v>243</v>
      </c>
      <c r="Y44" s="1"/>
      <c r="Z44" s="1"/>
      <c r="AA44" s="1">
        <v>1</v>
      </c>
      <c r="AB44" s="1"/>
      <c r="AC44" s="1"/>
      <c r="AD44" s="1"/>
      <c r="AE44" s="1"/>
      <c r="AF44" s="1">
        <v>1</v>
      </c>
    </row>
    <row r="45" spans="1:32" x14ac:dyDescent="0.25">
      <c r="A45" s="6" t="s">
        <v>265</v>
      </c>
      <c r="B45" s="1"/>
      <c r="C45" s="1"/>
      <c r="D45" s="1">
        <v>1</v>
      </c>
      <c r="E45" s="1"/>
      <c r="F45" s="1"/>
      <c r="G45" s="1"/>
      <c r="H45" s="1"/>
      <c r="I45" s="1">
        <v>1</v>
      </c>
      <c r="X45" s="6" t="s">
        <v>412</v>
      </c>
      <c r="Y45" s="1"/>
      <c r="Z45" s="1"/>
      <c r="AA45" s="1">
        <v>1</v>
      </c>
      <c r="AB45" s="1"/>
      <c r="AC45" s="1"/>
      <c r="AD45" s="1"/>
      <c r="AE45" s="1"/>
      <c r="AF45" s="1">
        <v>1</v>
      </c>
    </row>
    <row r="46" spans="1:32" x14ac:dyDescent="0.25">
      <c r="A46" s="6" t="s">
        <v>213</v>
      </c>
      <c r="B46" s="1"/>
      <c r="C46" s="1"/>
      <c r="D46" s="1"/>
      <c r="E46" s="1">
        <v>1</v>
      </c>
      <c r="F46" s="1"/>
      <c r="G46" s="1"/>
      <c r="H46" s="1"/>
      <c r="I46" s="1">
        <v>1</v>
      </c>
      <c r="X46" s="6" t="s">
        <v>510</v>
      </c>
      <c r="Y46" s="1"/>
      <c r="Z46" s="1"/>
      <c r="AA46" s="1"/>
      <c r="AB46" s="1"/>
      <c r="AC46" s="1"/>
      <c r="AD46" s="1"/>
      <c r="AE46" s="1">
        <v>1</v>
      </c>
      <c r="AF46" s="1">
        <v>1</v>
      </c>
    </row>
    <row r="47" spans="1:32" x14ac:dyDescent="0.25">
      <c r="A47" s="6" t="s">
        <v>255</v>
      </c>
      <c r="B47" s="1"/>
      <c r="C47" s="1">
        <v>1</v>
      </c>
      <c r="D47" s="1"/>
      <c r="E47" s="1"/>
      <c r="F47" s="1"/>
      <c r="G47" s="1"/>
      <c r="H47" s="1"/>
      <c r="I47" s="1">
        <v>1</v>
      </c>
      <c r="X47" s="6" t="s">
        <v>239</v>
      </c>
      <c r="Y47" s="1"/>
      <c r="Z47" s="1"/>
      <c r="AA47" s="1"/>
      <c r="AB47" s="1"/>
      <c r="AC47" s="1"/>
      <c r="AD47" s="1"/>
      <c r="AE47" s="1">
        <v>1</v>
      </c>
      <c r="AF47" s="1">
        <v>1</v>
      </c>
    </row>
    <row r="48" spans="1:32" x14ac:dyDescent="0.25">
      <c r="A48" s="6" t="s">
        <v>545</v>
      </c>
      <c r="B48" s="1">
        <v>1</v>
      </c>
      <c r="C48" s="1"/>
      <c r="D48" s="1"/>
      <c r="E48" s="1"/>
      <c r="F48" s="1"/>
      <c r="G48" s="1"/>
      <c r="H48" s="1"/>
      <c r="I48" s="1">
        <v>1</v>
      </c>
      <c r="X48" s="6" t="s">
        <v>230</v>
      </c>
      <c r="Y48" s="1"/>
      <c r="Z48" s="1"/>
      <c r="AA48" s="1"/>
      <c r="AB48" s="1"/>
      <c r="AC48" s="1"/>
      <c r="AD48" s="1">
        <v>1</v>
      </c>
      <c r="AE48" s="1"/>
      <c r="AF48" s="1">
        <v>1</v>
      </c>
    </row>
    <row r="49" spans="1:32" x14ac:dyDescent="0.25">
      <c r="A49" s="6" t="s">
        <v>489</v>
      </c>
      <c r="B49" s="1"/>
      <c r="C49" s="1"/>
      <c r="D49" s="1">
        <v>1</v>
      </c>
      <c r="E49" s="1"/>
      <c r="F49" s="1"/>
      <c r="G49" s="1"/>
      <c r="H49" s="1"/>
      <c r="I49" s="1">
        <v>1</v>
      </c>
      <c r="X49" s="6" t="s">
        <v>403</v>
      </c>
      <c r="Y49" s="1"/>
      <c r="Z49" s="1">
        <v>1</v>
      </c>
      <c r="AA49" s="1"/>
      <c r="AB49" s="1"/>
      <c r="AC49" s="1"/>
      <c r="AD49" s="1"/>
      <c r="AE49" s="1"/>
      <c r="AF49" s="1">
        <v>1</v>
      </c>
    </row>
    <row r="50" spans="1:32" x14ac:dyDescent="0.25">
      <c r="A50" s="6" t="s">
        <v>322</v>
      </c>
      <c r="B50" s="1"/>
      <c r="C50" s="1"/>
      <c r="D50" s="1">
        <v>1</v>
      </c>
      <c r="E50" s="1"/>
      <c r="F50" s="1"/>
      <c r="G50" s="1"/>
      <c r="H50" s="1"/>
      <c r="I50" s="1">
        <v>1</v>
      </c>
      <c r="X50" s="6" t="s">
        <v>360</v>
      </c>
      <c r="Y50" s="1"/>
      <c r="Z50" s="1"/>
      <c r="AA50" s="1"/>
      <c r="AB50" s="1"/>
      <c r="AC50" s="1"/>
      <c r="AD50" s="1">
        <v>1</v>
      </c>
      <c r="AE50" s="1"/>
      <c r="AF50" s="1">
        <v>1</v>
      </c>
    </row>
    <row r="51" spans="1:32" x14ac:dyDescent="0.25">
      <c r="A51" s="6" t="s">
        <v>66</v>
      </c>
      <c r="B51" s="1"/>
      <c r="C51" s="1">
        <v>1</v>
      </c>
      <c r="D51" s="1">
        <v>2</v>
      </c>
      <c r="E51" s="1">
        <v>1</v>
      </c>
      <c r="F51" s="1"/>
      <c r="G51" s="1">
        <v>1</v>
      </c>
      <c r="H51" s="1"/>
      <c r="I51" s="1">
        <v>5</v>
      </c>
      <c r="X51" s="6" t="s">
        <v>226</v>
      </c>
      <c r="Y51" s="1"/>
      <c r="Z51" s="1"/>
      <c r="AA51" s="1"/>
      <c r="AB51" s="1">
        <v>1</v>
      </c>
      <c r="AC51" s="1"/>
      <c r="AD51" s="1"/>
      <c r="AE51" s="1"/>
      <c r="AF51" s="1">
        <v>1</v>
      </c>
    </row>
    <row r="52" spans="1:32" x14ac:dyDescent="0.25">
      <c r="A52" s="6" t="s">
        <v>468</v>
      </c>
      <c r="B52" s="1"/>
      <c r="C52" s="1"/>
      <c r="D52" s="1"/>
      <c r="E52" s="1"/>
      <c r="F52" s="1"/>
      <c r="G52" s="1">
        <v>1</v>
      </c>
      <c r="H52" s="1"/>
      <c r="I52" s="1">
        <v>1</v>
      </c>
      <c r="X52" s="6" t="s">
        <v>202</v>
      </c>
      <c r="Y52" s="1"/>
      <c r="Z52" s="1"/>
      <c r="AA52" s="1"/>
      <c r="AB52" s="1">
        <v>1</v>
      </c>
      <c r="AC52" s="1"/>
      <c r="AD52" s="1"/>
      <c r="AE52" s="1"/>
      <c r="AF52" s="1">
        <v>1</v>
      </c>
    </row>
    <row r="53" spans="1:32" x14ac:dyDescent="0.25">
      <c r="A53" s="6" t="s">
        <v>78</v>
      </c>
      <c r="B53" s="1"/>
      <c r="C53" s="1"/>
      <c r="D53" s="1">
        <v>1</v>
      </c>
      <c r="E53" s="1">
        <v>3</v>
      </c>
      <c r="F53" s="1"/>
      <c r="G53" s="1">
        <v>1</v>
      </c>
      <c r="H53" s="1"/>
      <c r="I53" s="1">
        <v>5</v>
      </c>
      <c r="L53" s="8" t="s">
        <v>157</v>
      </c>
      <c r="M53" s="8" t="s">
        <v>169</v>
      </c>
      <c r="N53" s="8" t="s">
        <v>165</v>
      </c>
      <c r="O53" s="8" t="s">
        <v>305</v>
      </c>
      <c r="P53" s="8" t="s">
        <v>571</v>
      </c>
      <c r="Q53" s="8" t="s">
        <v>161</v>
      </c>
      <c r="R53" s="8" t="s">
        <v>341</v>
      </c>
      <c r="S53" s="7"/>
      <c r="X53" s="6" t="s">
        <v>496</v>
      </c>
      <c r="Y53" s="1"/>
      <c r="Z53" s="1"/>
      <c r="AA53" s="1"/>
      <c r="AB53" s="1">
        <v>1</v>
      </c>
      <c r="AC53" s="1"/>
      <c r="AD53" s="1"/>
      <c r="AE53" s="1"/>
      <c r="AF53" s="1">
        <v>1</v>
      </c>
    </row>
    <row r="54" spans="1:32" x14ac:dyDescent="0.25">
      <c r="A54" s="6" t="s">
        <v>381</v>
      </c>
      <c r="B54" s="1"/>
      <c r="C54" s="1"/>
      <c r="D54" s="1"/>
      <c r="E54" s="1"/>
      <c r="F54" s="1"/>
      <c r="G54" s="1"/>
      <c r="H54" s="1">
        <v>1</v>
      </c>
      <c r="I54" s="1">
        <v>1</v>
      </c>
      <c r="L54" s="9">
        <f>GETPIVOTDATA("booking_id",$A$19,"car_type","Compact")</f>
        <v>7</v>
      </c>
      <c r="M54" s="9">
        <f>GETPIVOTDATA("booking_id",$A$19,"car_type","Electric")</f>
        <v>6</v>
      </c>
      <c r="N54" s="9">
        <f>GETPIVOTDATA("booking_id",$A$19,"car_type","Luxury")</f>
        <v>11</v>
      </c>
      <c r="O54" s="9">
        <f>GETPIVOTDATA("booking_id",$A$19,"car_type","Sedan")</f>
        <v>22</v>
      </c>
      <c r="P54" s="9">
        <f>GETPIVOTDATA("booking_id",$A$19,"car_type","Sports")</f>
        <v>1</v>
      </c>
      <c r="Q54" s="9">
        <f>GETPIVOTDATA("booking_id",$A$19,"car_type","SUV")</f>
        <v>11</v>
      </c>
      <c r="R54" s="9">
        <f>GETPIVOTDATA("booking_id",$A$19,"car_type","Van")</f>
        <v>5</v>
      </c>
      <c r="X54" s="6" t="s">
        <v>66</v>
      </c>
      <c r="Y54" s="1"/>
      <c r="Z54" s="1">
        <v>1</v>
      </c>
      <c r="AA54" s="1">
        <v>2</v>
      </c>
      <c r="AB54" s="1">
        <v>1</v>
      </c>
      <c r="AC54" s="1"/>
      <c r="AD54" s="1">
        <v>1</v>
      </c>
      <c r="AE54" s="1"/>
      <c r="AF54" s="1">
        <v>5</v>
      </c>
    </row>
    <row r="55" spans="1:32" x14ac:dyDescent="0.25">
      <c r="A55" s="6" t="s">
        <v>243</v>
      </c>
      <c r="B55" s="1"/>
      <c r="C55" s="1"/>
      <c r="D55" s="1">
        <v>1</v>
      </c>
      <c r="E55" s="1"/>
      <c r="F55" s="1"/>
      <c r="G55" s="1"/>
      <c r="H55" s="1"/>
      <c r="I55" s="1">
        <v>1</v>
      </c>
      <c r="X55" s="6" t="s">
        <v>247</v>
      </c>
      <c r="Y55" s="1"/>
      <c r="Z55" s="1"/>
      <c r="AA55" s="1"/>
      <c r="AB55" s="1">
        <v>1</v>
      </c>
      <c r="AC55" s="1"/>
      <c r="AD55" s="1"/>
      <c r="AE55" s="1"/>
      <c r="AF55" s="1">
        <v>1</v>
      </c>
    </row>
    <row r="56" spans="1:32" x14ac:dyDescent="0.25">
      <c r="A56" s="6" t="s">
        <v>510</v>
      </c>
      <c r="B56" s="1"/>
      <c r="C56" s="1"/>
      <c r="D56" s="1"/>
      <c r="E56" s="1"/>
      <c r="F56" s="1"/>
      <c r="G56" s="1"/>
      <c r="H56" s="1">
        <v>1</v>
      </c>
      <c r="I56" s="1">
        <v>1</v>
      </c>
      <c r="X56" s="6" t="s">
        <v>461</v>
      </c>
      <c r="Y56" s="1"/>
      <c r="Z56" s="1"/>
      <c r="AA56" s="1"/>
      <c r="AB56" s="1">
        <v>1</v>
      </c>
      <c r="AC56" s="1"/>
      <c r="AD56" s="1"/>
      <c r="AE56" s="1"/>
      <c r="AF56" s="1">
        <v>1</v>
      </c>
    </row>
    <row r="57" spans="1:32" x14ac:dyDescent="0.25">
      <c r="A57" s="6" t="s">
        <v>230</v>
      </c>
      <c r="B57" s="1"/>
      <c r="C57" s="1"/>
      <c r="D57" s="1"/>
      <c r="E57" s="1"/>
      <c r="F57" s="1"/>
      <c r="G57" s="1">
        <v>1</v>
      </c>
      <c r="H57" s="1"/>
      <c r="I57" s="1">
        <v>1</v>
      </c>
      <c r="X57" s="6" t="s">
        <v>389</v>
      </c>
      <c r="Y57" s="1"/>
      <c r="Z57" s="1"/>
      <c r="AA57" s="1"/>
      <c r="AB57" s="1">
        <v>1</v>
      </c>
      <c r="AC57" s="1"/>
      <c r="AD57" s="1"/>
      <c r="AE57" s="1"/>
      <c r="AF57" s="1">
        <v>1</v>
      </c>
    </row>
    <row r="58" spans="1:32" x14ac:dyDescent="0.25">
      <c r="A58" s="6" t="s">
        <v>360</v>
      </c>
      <c r="B58" s="1"/>
      <c r="C58" s="1"/>
      <c r="D58" s="1"/>
      <c r="E58" s="1"/>
      <c r="F58" s="1"/>
      <c r="G58" s="1">
        <v>1</v>
      </c>
      <c r="H58" s="1"/>
      <c r="I58" s="1">
        <v>1</v>
      </c>
      <c r="X58" s="6" t="s">
        <v>213</v>
      </c>
      <c r="Y58" s="1"/>
      <c r="Z58" s="1"/>
      <c r="AA58" s="1"/>
      <c r="AB58" s="1">
        <v>1</v>
      </c>
      <c r="AC58" s="1"/>
      <c r="AD58" s="1"/>
      <c r="AE58" s="1"/>
      <c r="AF58" s="1">
        <v>1</v>
      </c>
    </row>
    <row r="59" spans="1:32" x14ac:dyDescent="0.25">
      <c r="A59" s="6" t="s">
        <v>461</v>
      </c>
      <c r="B59" s="1"/>
      <c r="C59" s="1"/>
      <c r="D59" s="1"/>
      <c r="E59" s="1">
        <v>1</v>
      </c>
      <c r="F59" s="1"/>
      <c r="G59" s="1"/>
      <c r="H59" s="1"/>
      <c r="I59" s="1">
        <v>1</v>
      </c>
      <c r="X59" s="6" t="s">
        <v>60</v>
      </c>
      <c r="Y59" s="1"/>
      <c r="Z59" s="1"/>
      <c r="AA59" s="1">
        <v>1</v>
      </c>
      <c r="AB59" s="1">
        <v>3</v>
      </c>
      <c r="AC59" s="1">
        <v>1</v>
      </c>
      <c r="AD59" s="1">
        <v>1</v>
      </c>
      <c r="AE59" s="1"/>
      <c r="AF59" s="1">
        <v>6</v>
      </c>
    </row>
    <row r="60" spans="1:32" x14ac:dyDescent="0.25">
      <c r="A60" s="6" t="s">
        <v>531</v>
      </c>
      <c r="B60" s="1">
        <v>1</v>
      </c>
      <c r="C60" s="1"/>
      <c r="D60" s="1"/>
      <c r="E60" s="1"/>
      <c r="F60" s="1"/>
      <c r="G60" s="1"/>
      <c r="H60" s="1"/>
      <c r="I60" s="1">
        <v>1</v>
      </c>
      <c r="X60" s="6" t="s">
        <v>78</v>
      </c>
      <c r="Y60" s="1"/>
      <c r="Z60" s="1"/>
      <c r="AA60" s="1">
        <v>1</v>
      </c>
      <c r="AB60" s="1">
        <v>3</v>
      </c>
      <c r="AC60" s="1"/>
      <c r="AD60" s="1">
        <v>1</v>
      </c>
      <c r="AE60" s="1"/>
      <c r="AF60" s="1">
        <v>5</v>
      </c>
    </row>
    <row r="61" spans="1:32" x14ac:dyDescent="0.25">
      <c r="A61" s="6" t="s">
        <v>43</v>
      </c>
      <c r="B61" s="1">
        <v>1</v>
      </c>
      <c r="C61" s="1"/>
      <c r="D61" s="1"/>
      <c r="E61" s="1"/>
      <c r="F61" s="1"/>
      <c r="G61" s="1"/>
      <c r="H61" s="1"/>
      <c r="I61" s="1">
        <v>1</v>
      </c>
      <c r="X61" s="6" t="s">
        <v>72</v>
      </c>
      <c r="Y61" s="1"/>
      <c r="Z61" s="1"/>
      <c r="AA61" s="1"/>
      <c r="AB61" s="1">
        <v>4</v>
      </c>
      <c r="AC61" s="1"/>
      <c r="AD61" s="1">
        <v>1</v>
      </c>
      <c r="AE61" s="1"/>
      <c r="AF61" s="1">
        <v>5</v>
      </c>
    </row>
    <row r="62" spans="1:32" x14ac:dyDescent="0.25">
      <c r="A62" s="6" t="s">
        <v>503</v>
      </c>
      <c r="B62" s="1"/>
      <c r="C62" s="1"/>
      <c r="D62" s="1"/>
      <c r="E62" s="1"/>
      <c r="F62" s="1"/>
      <c r="G62" s="1">
        <v>1</v>
      </c>
      <c r="H62" s="1"/>
      <c r="I62" s="1">
        <v>1</v>
      </c>
      <c r="X62" s="6" t="s">
        <v>54</v>
      </c>
      <c r="Y62" s="1"/>
      <c r="Z62" s="1"/>
      <c r="AA62" s="1"/>
      <c r="AB62" s="1">
        <v>4</v>
      </c>
      <c r="AC62" s="1"/>
      <c r="AD62" s="1">
        <v>1</v>
      </c>
      <c r="AE62" s="1"/>
      <c r="AF62" s="1">
        <v>5</v>
      </c>
    </row>
    <row r="63" spans="1:32" x14ac:dyDescent="0.25">
      <c r="A63" s="6" t="s">
        <v>610</v>
      </c>
      <c r="B63" s="1">
        <v>7</v>
      </c>
      <c r="C63" s="1">
        <v>6</v>
      </c>
      <c r="D63" s="1">
        <v>11</v>
      </c>
      <c r="E63" s="1">
        <v>22</v>
      </c>
      <c r="F63" s="1">
        <v>1</v>
      </c>
      <c r="G63" s="1">
        <v>11</v>
      </c>
      <c r="H63" s="1">
        <v>5</v>
      </c>
      <c r="I63" s="1">
        <v>63</v>
      </c>
      <c r="X63" s="6" t="s">
        <v>610</v>
      </c>
      <c r="Y63" s="1">
        <v>7</v>
      </c>
      <c r="Z63" s="1">
        <v>6</v>
      </c>
      <c r="AA63" s="1">
        <v>11</v>
      </c>
      <c r="AB63" s="1">
        <v>22</v>
      </c>
      <c r="AC63" s="1">
        <v>1</v>
      </c>
      <c r="AD63" s="1">
        <v>11</v>
      </c>
      <c r="AE63" s="1">
        <v>5</v>
      </c>
      <c r="AF63" s="1">
        <v>63</v>
      </c>
    </row>
    <row r="68" spans="12:14" x14ac:dyDescent="0.25">
      <c r="L68" s="5" t="s">
        <v>609</v>
      </c>
      <c r="M68" t="s">
        <v>613</v>
      </c>
      <c r="N68" s="9" t="s">
        <v>617</v>
      </c>
    </row>
    <row r="69" spans="12:14" x14ac:dyDescent="0.25">
      <c r="L69" s="6" t="s">
        <v>157</v>
      </c>
      <c r="M69" s="1">
        <v>87200</v>
      </c>
      <c r="N69" s="9">
        <f>GETPIVOTDATA("total_amount",$L$68)</f>
        <v>788000</v>
      </c>
    </row>
    <row r="70" spans="12:14" x14ac:dyDescent="0.25">
      <c r="L70" s="6" t="s">
        <v>169</v>
      </c>
      <c r="M70" s="1">
        <v>87800</v>
      </c>
    </row>
    <row r="71" spans="12:14" x14ac:dyDescent="0.25">
      <c r="L71" s="6" t="s">
        <v>165</v>
      </c>
      <c r="M71" s="1">
        <v>197000</v>
      </c>
    </row>
    <row r="72" spans="12:14" x14ac:dyDescent="0.25">
      <c r="L72" s="6" t="s">
        <v>305</v>
      </c>
      <c r="M72" s="1">
        <v>172800</v>
      </c>
    </row>
    <row r="73" spans="12:14" x14ac:dyDescent="0.25">
      <c r="L73" s="6" t="s">
        <v>571</v>
      </c>
      <c r="M73" s="1">
        <v>7200</v>
      </c>
    </row>
    <row r="74" spans="12:14" x14ac:dyDescent="0.25">
      <c r="L74" s="6" t="s">
        <v>161</v>
      </c>
      <c r="M74" s="1">
        <v>147300</v>
      </c>
    </row>
    <row r="75" spans="12:14" x14ac:dyDescent="0.25">
      <c r="L75" s="6" t="s">
        <v>341</v>
      </c>
      <c r="M75" s="1">
        <v>88700</v>
      </c>
    </row>
    <row r="76" spans="12:14" x14ac:dyDescent="0.25">
      <c r="L76" s="6" t="s">
        <v>610</v>
      </c>
      <c r="M76" s="1">
        <v>788000</v>
      </c>
    </row>
    <row r="83" spans="1:2" x14ac:dyDescent="0.25">
      <c r="A83" s="5" t="s">
        <v>609</v>
      </c>
      <c r="B83" t="s">
        <v>618</v>
      </c>
    </row>
    <row r="84" spans="1:2" x14ac:dyDescent="0.25">
      <c r="A84" s="6" t="s">
        <v>241</v>
      </c>
      <c r="B84" s="1">
        <v>5</v>
      </c>
    </row>
    <row r="85" spans="1:2" x14ac:dyDescent="0.25">
      <c r="A85" s="6" t="s">
        <v>220</v>
      </c>
      <c r="B85" s="1">
        <v>5</v>
      </c>
    </row>
    <row r="86" spans="1:2" x14ac:dyDescent="0.25">
      <c r="A86" s="6" t="s">
        <v>211</v>
      </c>
      <c r="B86" s="1">
        <v>7</v>
      </c>
    </row>
    <row r="87" spans="1:2" x14ac:dyDescent="0.25">
      <c r="A87" s="6" t="s">
        <v>228</v>
      </c>
      <c r="B87" s="1">
        <v>3</v>
      </c>
    </row>
    <row r="88" spans="1:2" x14ac:dyDescent="0.25">
      <c r="A88" s="6" t="s">
        <v>180</v>
      </c>
      <c r="B88" s="1">
        <v>5</v>
      </c>
    </row>
    <row r="89" spans="1:2" x14ac:dyDescent="0.25">
      <c r="A89" s="6" t="s">
        <v>263</v>
      </c>
      <c r="B89" s="1">
        <v>5</v>
      </c>
    </row>
    <row r="90" spans="1:2" x14ac:dyDescent="0.25">
      <c r="A90" s="6" t="s">
        <v>250</v>
      </c>
      <c r="B90" s="1">
        <v>3</v>
      </c>
    </row>
    <row r="91" spans="1:2" x14ac:dyDescent="0.25">
      <c r="A91" s="6" t="s">
        <v>258</v>
      </c>
      <c r="B91" s="1">
        <v>4</v>
      </c>
    </row>
    <row r="92" spans="1:2" x14ac:dyDescent="0.25">
      <c r="A92" s="6" t="s">
        <v>168</v>
      </c>
      <c r="B92" s="1">
        <v>5</v>
      </c>
    </row>
    <row r="93" spans="1:2" x14ac:dyDescent="0.25">
      <c r="A93" s="6" t="s">
        <v>200</v>
      </c>
      <c r="B93" s="1">
        <v>8</v>
      </c>
    </row>
    <row r="94" spans="1:2" x14ac:dyDescent="0.25">
      <c r="A94" s="6" t="s">
        <v>237</v>
      </c>
      <c r="B94" s="1">
        <v>4</v>
      </c>
    </row>
    <row r="95" spans="1:2" x14ac:dyDescent="0.25">
      <c r="A95" s="6" t="s">
        <v>206</v>
      </c>
      <c r="B95" s="1">
        <v>9</v>
      </c>
    </row>
    <row r="96" spans="1:2" x14ac:dyDescent="0.25">
      <c r="A96" s="6" t="s">
        <v>610</v>
      </c>
      <c r="B96" s="1">
        <v>63</v>
      </c>
    </row>
    <row r="102" spans="1:15" x14ac:dyDescent="0.25">
      <c r="A102" s="5" t="s">
        <v>611</v>
      </c>
      <c r="B102" s="5" t="s">
        <v>612</v>
      </c>
    </row>
    <row r="103" spans="1:15" x14ac:dyDescent="0.25">
      <c r="A103" s="5" t="s">
        <v>609</v>
      </c>
      <c r="B103" t="s">
        <v>30</v>
      </c>
      <c r="C103" t="s">
        <v>326</v>
      </c>
      <c r="D103" t="s">
        <v>92</v>
      </c>
      <c r="E103" t="s">
        <v>610</v>
      </c>
      <c r="I103" s="5" t="s">
        <v>611</v>
      </c>
      <c r="J103" s="5" t="s">
        <v>612</v>
      </c>
    </row>
    <row r="104" spans="1:15" x14ac:dyDescent="0.25">
      <c r="A104" s="6" t="s">
        <v>552</v>
      </c>
      <c r="B104" s="1"/>
      <c r="C104" s="1"/>
      <c r="D104" s="1">
        <v>6</v>
      </c>
      <c r="E104" s="1">
        <v>6</v>
      </c>
      <c r="I104" s="5" t="s">
        <v>609</v>
      </c>
      <c r="J104" t="s">
        <v>30</v>
      </c>
      <c r="K104" t="s">
        <v>326</v>
      </c>
      <c r="L104" t="s">
        <v>92</v>
      </c>
      <c r="M104" t="s">
        <v>610</v>
      </c>
    </row>
    <row r="105" spans="1:15" x14ac:dyDescent="0.25">
      <c r="A105" s="6" t="s">
        <v>556</v>
      </c>
      <c r="B105" s="1"/>
      <c r="C105" s="1"/>
      <c r="D105" s="1">
        <v>5</v>
      </c>
      <c r="E105" s="1">
        <v>5</v>
      </c>
      <c r="I105" s="6" t="s">
        <v>552</v>
      </c>
      <c r="J105" s="1"/>
      <c r="K105" s="1"/>
      <c r="L105" s="1">
        <v>6</v>
      </c>
      <c r="M105" s="1">
        <v>6</v>
      </c>
    </row>
    <row r="106" spans="1:15" x14ac:dyDescent="0.25">
      <c r="A106" s="6" t="s">
        <v>565</v>
      </c>
      <c r="B106" s="1"/>
      <c r="C106" s="1"/>
      <c r="D106" s="1">
        <v>5</v>
      </c>
      <c r="E106" s="1">
        <v>5</v>
      </c>
      <c r="I106" s="6" t="s">
        <v>556</v>
      </c>
      <c r="J106" s="1"/>
      <c r="K106" s="1"/>
      <c r="L106" s="1">
        <v>5</v>
      </c>
      <c r="M106" s="1">
        <v>5</v>
      </c>
      <c r="N106" s="7" t="s">
        <v>326</v>
      </c>
      <c r="O106" s="7" t="s">
        <v>92</v>
      </c>
    </row>
    <row r="107" spans="1:15" x14ac:dyDescent="0.25">
      <c r="A107" s="6" t="s">
        <v>559</v>
      </c>
      <c r="B107" s="1"/>
      <c r="C107" s="1"/>
      <c r="D107" s="1">
        <v>5</v>
      </c>
      <c r="E107" s="1">
        <v>5</v>
      </c>
      <c r="I107" s="6" t="s">
        <v>565</v>
      </c>
      <c r="J107" s="1"/>
      <c r="K107" s="1"/>
      <c r="L107" s="1">
        <v>5</v>
      </c>
      <c r="M107" s="1">
        <v>5</v>
      </c>
      <c r="N107">
        <f>GETPIVOTDATA("booking_id",$I$103,"status","Cancelled")</f>
        <v>10</v>
      </c>
      <c r="O107">
        <f>GETPIVOTDATA("booking_id",$I$103,"status","Completed")</f>
        <v>48</v>
      </c>
    </row>
    <row r="108" spans="1:15" x14ac:dyDescent="0.25">
      <c r="A108" s="6" t="s">
        <v>581</v>
      </c>
      <c r="B108" s="1"/>
      <c r="C108" s="1"/>
      <c r="D108" s="1">
        <v>4</v>
      </c>
      <c r="E108" s="1">
        <v>4</v>
      </c>
      <c r="I108" s="6" t="s">
        <v>559</v>
      </c>
      <c r="J108" s="1"/>
      <c r="K108" s="1"/>
      <c r="L108" s="1">
        <v>5</v>
      </c>
      <c r="M108" s="1">
        <v>5</v>
      </c>
    </row>
    <row r="109" spans="1:15" x14ac:dyDescent="0.25">
      <c r="A109" s="6" t="s">
        <v>304</v>
      </c>
      <c r="B109" s="1"/>
      <c r="C109" s="1">
        <v>1</v>
      </c>
      <c r="D109" s="1">
        <v>3</v>
      </c>
      <c r="E109" s="1">
        <v>4</v>
      </c>
      <c r="I109" s="6" t="s">
        <v>581</v>
      </c>
      <c r="J109" s="1"/>
      <c r="K109" s="1"/>
      <c r="L109" s="1">
        <v>4</v>
      </c>
      <c r="M109" s="1">
        <v>4</v>
      </c>
    </row>
    <row r="110" spans="1:15" x14ac:dyDescent="0.25">
      <c r="A110" s="6" t="s">
        <v>340</v>
      </c>
      <c r="B110" s="1">
        <v>1</v>
      </c>
      <c r="C110" s="1">
        <v>1</v>
      </c>
      <c r="D110" s="1">
        <v>1</v>
      </c>
      <c r="E110" s="1">
        <v>3</v>
      </c>
      <c r="I110" s="6" t="s">
        <v>304</v>
      </c>
      <c r="J110" s="1"/>
      <c r="K110" s="1">
        <v>1</v>
      </c>
      <c r="L110" s="1">
        <v>3</v>
      </c>
      <c r="M110" s="1">
        <v>4</v>
      </c>
    </row>
    <row r="111" spans="1:15" x14ac:dyDescent="0.25">
      <c r="A111" s="6" t="s">
        <v>371</v>
      </c>
      <c r="B111" s="1"/>
      <c r="C111" s="1">
        <v>1</v>
      </c>
      <c r="D111" s="1">
        <v>2</v>
      </c>
      <c r="E111" s="1">
        <v>3</v>
      </c>
      <c r="I111" s="6" t="s">
        <v>325</v>
      </c>
      <c r="J111" s="1"/>
      <c r="K111" s="1">
        <v>2</v>
      </c>
      <c r="L111" s="1">
        <v>1</v>
      </c>
      <c r="M111" s="1">
        <v>3</v>
      </c>
    </row>
    <row r="112" spans="1:15" x14ac:dyDescent="0.25">
      <c r="A112" s="6" t="s">
        <v>332</v>
      </c>
      <c r="B112" s="1"/>
      <c r="C112" s="1">
        <v>1</v>
      </c>
      <c r="D112" s="1">
        <v>2</v>
      </c>
      <c r="E112" s="1">
        <v>3</v>
      </c>
      <c r="I112" s="6" t="s">
        <v>371</v>
      </c>
      <c r="J112" s="1"/>
      <c r="K112" s="1">
        <v>1</v>
      </c>
      <c r="L112" s="1">
        <v>2</v>
      </c>
      <c r="M112" s="1">
        <v>3</v>
      </c>
    </row>
    <row r="113" spans="1:13" x14ac:dyDescent="0.25">
      <c r="A113" s="6" t="s">
        <v>315</v>
      </c>
      <c r="B113" s="1">
        <v>1</v>
      </c>
      <c r="C113" s="1">
        <v>1</v>
      </c>
      <c r="D113" s="1">
        <v>1</v>
      </c>
      <c r="E113" s="1">
        <v>3</v>
      </c>
      <c r="I113" s="6" t="s">
        <v>332</v>
      </c>
      <c r="J113" s="1"/>
      <c r="K113" s="1">
        <v>1</v>
      </c>
      <c r="L113" s="1">
        <v>2</v>
      </c>
      <c r="M113" s="1">
        <v>3</v>
      </c>
    </row>
    <row r="114" spans="1:13" x14ac:dyDescent="0.25">
      <c r="A114" s="6" t="s">
        <v>325</v>
      </c>
      <c r="B114" s="1"/>
      <c r="C114" s="1">
        <v>2</v>
      </c>
      <c r="D114" s="1">
        <v>1</v>
      </c>
      <c r="E114" s="1">
        <v>3</v>
      </c>
      <c r="I114" s="6" t="s">
        <v>315</v>
      </c>
      <c r="J114" s="1">
        <v>1</v>
      </c>
      <c r="K114" s="1">
        <v>1</v>
      </c>
      <c r="L114" s="1">
        <v>1</v>
      </c>
      <c r="M114" s="1">
        <v>3</v>
      </c>
    </row>
    <row r="115" spans="1:13" x14ac:dyDescent="0.25">
      <c r="A115" s="6" t="s">
        <v>406</v>
      </c>
      <c r="B115" s="1">
        <v>1</v>
      </c>
      <c r="C115" s="1"/>
      <c r="D115" s="1">
        <v>1</v>
      </c>
      <c r="E115" s="1">
        <v>2</v>
      </c>
      <c r="I115" s="6" t="s">
        <v>340</v>
      </c>
      <c r="J115" s="1">
        <v>1</v>
      </c>
      <c r="K115" s="1">
        <v>1</v>
      </c>
      <c r="L115" s="1">
        <v>1</v>
      </c>
      <c r="M115" s="1">
        <v>3</v>
      </c>
    </row>
    <row r="116" spans="1:13" x14ac:dyDescent="0.25">
      <c r="A116" s="6" t="s">
        <v>392</v>
      </c>
      <c r="B116" s="1"/>
      <c r="C116" s="1">
        <v>1</v>
      </c>
      <c r="D116" s="1">
        <v>1</v>
      </c>
      <c r="E116" s="1">
        <v>2</v>
      </c>
      <c r="I116" s="6" t="s">
        <v>384</v>
      </c>
      <c r="J116" s="1">
        <v>1</v>
      </c>
      <c r="K116" s="1"/>
      <c r="L116" s="1">
        <v>1</v>
      </c>
      <c r="M116" s="1">
        <v>2</v>
      </c>
    </row>
    <row r="117" spans="1:13" x14ac:dyDescent="0.25">
      <c r="A117" s="6" t="s">
        <v>355</v>
      </c>
      <c r="B117" s="1"/>
      <c r="C117" s="1"/>
      <c r="D117" s="1">
        <v>2</v>
      </c>
      <c r="E117" s="1">
        <v>2</v>
      </c>
      <c r="I117" s="6" t="s">
        <v>355</v>
      </c>
      <c r="J117" s="1"/>
      <c r="K117" s="1"/>
      <c r="L117" s="1">
        <v>2</v>
      </c>
      <c r="M117" s="1">
        <v>2</v>
      </c>
    </row>
    <row r="118" spans="1:13" x14ac:dyDescent="0.25">
      <c r="A118" s="6" t="s">
        <v>415</v>
      </c>
      <c r="B118" s="1"/>
      <c r="C118" s="1">
        <v>1</v>
      </c>
      <c r="D118" s="1">
        <v>1</v>
      </c>
      <c r="E118" s="1">
        <v>2</v>
      </c>
      <c r="I118" s="6" t="s">
        <v>415</v>
      </c>
      <c r="J118" s="1"/>
      <c r="K118" s="1">
        <v>1</v>
      </c>
      <c r="L118" s="1">
        <v>1</v>
      </c>
      <c r="M118" s="1">
        <v>2</v>
      </c>
    </row>
    <row r="119" spans="1:13" x14ac:dyDescent="0.25">
      <c r="A119" s="6" t="s">
        <v>384</v>
      </c>
      <c r="B119" s="1">
        <v>1</v>
      </c>
      <c r="C119" s="1"/>
      <c r="D119" s="1">
        <v>1</v>
      </c>
      <c r="E119" s="1">
        <v>2</v>
      </c>
      <c r="I119" s="6" t="s">
        <v>398</v>
      </c>
      <c r="J119" s="1"/>
      <c r="K119" s="1"/>
      <c r="L119" s="1">
        <v>2</v>
      </c>
      <c r="M119" s="1">
        <v>2</v>
      </c>
    </row>
    <row r="120" spans="1:13" x14ac:dyDescent="0.25">
      <c r="A120" s="6" t="s">
        <v>350</v>
      </c>
      <c r="B120" s="1"/>
      <c r="C120" s="1">
        <v>1</v>
      </c>
      <c r="D120" s="1">
        <v>1</v>
      </c>
      <c r="E120" s="1">
        <v>2</v>
      </c>
      <c r="I120" s="6" t="s">
        <v>392</v>
      </c>
      <c r="J120" s="1"/>
      <c r="K120" s="1">
        <v>1</v>
      </c>
      <c r="L120" s="1">
        <v>1</v>
      </c>
      <c r="M120" s="1">
        <v>2</v>
      </c>
    </row>
    <row r="121" spans="1:13" x14ac:dyDescent="0.25">
      <c r="A121" s="6" t="s">
        <v>363</v>
      </c>
      <c r="B121" s="1">
        <v>1</v>
      </c>
      <c r="C121" s="1"/>
      <c r="D121" s="1">
        <v>1</v>
      </c>
      <c r="E121" s="1">
        <v>2</v>
      </c>
      <c r="I121" s="6" t="s">
        <v>350</v>
      </c>
      <c r="J121" s="1"/>
      <c r="K121" s="1">
        <v>1</v>
      </c>
      <c r="L121" s="1">
        <v>1</v>
      </c>
      <c r="M121" s="1">
        <v>2</v>
      </c>
    </row>
    <row r="122" spans="1:13" x14ac:dyDescent="0.25">
      <c r="A122" s="6" t="s">
        <v>376</v>
      </c>
      <c r="B122" s="1"/>
      <c r="C122" s="1"/>
      <c r="D122" s="1">
        <v>2</v>
      </c>
      <c r="E122" s="1">
        <v>2</v>
      </c>
      <c r="I122" s="6" t="s">
        <v>406</v>
      </c>
      <c r="J122" s="1">
        <v>1</v>
      </c>
      <c r="K122" s="1"/>
      <c r="L122" s="1">
        <v>1</v>
      </c>
      <c r="M122" s="1">
        <v>2</v>
      </c>
    </row>
    <row r="123" spans="1:13" x14ac:dyDescent="0.25">
      <c r="A123" s="6" t="s">
        <v>398</v>
      </c>
      <c r="B123" s="1"/>
      <c r="C123" s="1"/>
      <c r="D123" s="1">
        <v>2</v>
      </c>
      <c r="E123" s="1">
        <v>2</v>
      </c>
      <c r="I123" s="6" t="s">
        <v>376</v>
      </c>
      <c r="J123" s="1"/>
      <c r="K123" s="1"/>
      <c r="L123" s="1">
        <v>2</v>
      </c>
      <c r="M123" s="1">
        <v>2</v>
      </c>
    </row>
    <row r="124" spans="1:13" x14ac:dyDescent="0.25">
      <c r="A124" s="6" t="s">
        <v>533</v>
      </c>
      <c r="B124" s="1"/>
      <c r="C124" s="1"/>
      <c r="D124" s="1">
        <v>1</v>
      </c>
      <c r="E124" s="1">
        <v>1</v>
      </c>
      <c r="I124" s="6" t="s">
        <v>363</v>
      </c>
      <c r="J124" s="1">
        <v>1</v>
      </c>
      <c r="K124" s="1"/>
      <c r="L124" s="1">
        <v>1</v>
      </c>
      <c r="M124" s="1">
        <v>2</v>
      </c>
    </row>
    <row r="125" spans="1:13" x14ac:dyDescent="0.25">
      <c r="A125" s="6" t="s">
        <v>610</v>
      </c>
      <c r="B125" s="1">
        <v>5</v>
      </c>
      <c r="C125" s="1">
        <v>10</v>
      </c>
      <c r="D125" s="1">
        <v>48</v>
      </c>
      <c r="E125" s="1">
        <v>63</v>
      </c>
      <c r="I125" s="6" t="s">
        <v>534</v>
      </c>
      <c r="J125" s="1"/>
      <c r="K125" s="1"/>
      <c r="L125" s="1">
        <v>1</v>
      </c>
      <c r="M125" s="1">
        <v>1</v>
      </c>
    </row>
    <row r="126" spans="1:13" x14ac:dyDescent="0.25">
      <c r="I126" s="6" t="s">
        <v>610</v>
      </c>
      <c r="J126" s="1">
        <v>5</v>
      </c>
      <c r="K126" s="1">
        <v>10</v>
      </c>
      <c r="L126" s="1">
        <v>48</v>
      </c>
      <c r="M126" s="1">
        <v>63</v>
      </c>
    </row>
    <row r="129" spans="2:17" x14ac:dyDescent="0.25">
      <c r="B129" s="9" t="s">
        <v>619</v>
      </c>
      <c r="C129" s="9" t="s">
        <v>620</v>
      </c>
      <c r="D129" s="9" t="s">
        <v>621</v>
      </c>
      <c r="E129" s="9"/>
    </row>
    <row r="130" spans="2:17" x14ac:dyDescent="0.25">
      <c r="B130" s="9" t="str">
        <f>A104</f>
        <v>Manila Office</v>
      </c>
      <c r="C130" s="9"/>
      <c r="D130" s="9" t="str">
        <f>I105</f>
        <v>Manila Office</v>
      </c>
      <c r="E130" s="9"/>
    </row>
    <row r="141" spans="2:17" x14ac:dyDescent="0.25">
      <c r="P141" s="5" t="s">
        <v>609</v>
      </c>
      <c r="Q141" t="s">
        <v>618</v>
      </c>
    </row>
    <row r="142" spans="2:17" x14ac:dyDescent="0.25">
      <c r="P142" s="6" t="s">
        <v>241</v>
      </c>
      <c r="Q142" s="1">
        <v>5</v>
      </c>
    </row>
    <row r="143" spans="2:17" x14ac:dyDescent="0.25">
      <c r="P143" s="6" t="s">
        <v>220</v>
      </c>
      <c r="Q143" s="1">
        <v>5</v>
      </c>
    </row>
    <row r="144" spans="2:17" x14ac:dyDescent="0.25">
      <c r="P144" s="6" t="s">
        <v>211</v>
      </c>
      <c r="Q144" s="1">
        <v>7</v>
      </c>
    </row>
    <row r="145" spans="1:17" x14ac:dyDescent="0.25">
      <c r="P145" s="6" t="s">
        <v>228</v>
      </c>
      <c r="Q145" s="1">
        <v>3</v>
      </c>
    </row>
    <row r="146" spans="1:17" x14ac:dyDescent="0.25">
      <c r="P146" s="6" t="s">
        <v>180</v>
      </c>
      <c r="Q146" s="1">
        <v>5</v>
      </c>
    </row>
    <row r="147" spans="1:17" x14ac:dyDescent="0.25">
      <c r="P147" s="6" t="s">
        <v>263</v>
      </c>
      <c r="Q147" s="1">
        <v>5</v>
      </c>
    </row>
    <row r="148" spans="1:17" x14ac:dyDescent="0.25">
      <c r="A148" s="5" t="s">
        <v>611</v>
      </c>
      <c r="B148" s="5" t="s">
        <v>612</v>
      </c>
      <c r="P148" s="6" t="s">
        <v>250</v>
      </c>
      <c r="Q148" s="1">
        <v>3</v>
      </c>
    </row>
    <row r="149" spans="1:17" x14ac:dyDescent="0.25">
      <c r="A149" s="5" t="s">
        <v>609</v>
      </c>
      <c r="B149" t="s">
        <v>30</v>
      </c>
      <c r="C149" t="s">
        <v>326</v>
      </c>
      <c r="D149" t="s">
        <v>92</v>
      </c>
      <c r="E149" t="s">
        <v>610</v>
      </c>
      <c r="P149" s="6" t="s">
        <v>258</v>
      </c>
      <c r="Q149" s="1">
        <v>4</v>
      </c>
    </row>
    <row r="150" spans="1:17" x14ac:dyDescent="0.25">
      <c r="A150" s="6" t="s">
        <v>7</v>
      </c>
      <c r="B150" s="1"/>
      <c r="C150" s="1"/>
      <c r="D150" s="1">
        <v>5</v>
      </c>
      <c r="E150" s="1">
        <v>5</v>
      </c>
      <c r="P150" s="6" t="s">
        <v>168</v>
      </c>
      <c r="Q150" s="1">
        <v>5</v>
      </c>
    </row>
    <row r="151" spans="1:17" x14ac:dyDescent="0.25">
      <c r="A151" s="6" t="s">
        <v>200</v>
      </c>
      <c r="B151" s="1"/>
      <c r="C151" s="1">
        <v>1</v>
      </c>
      <c r="D151" s="1">
        <v>4</v>
      </c>
      <c r="E151" s="1">
        <v>5</v>
      </c>
      <c r="P151" s="6" t="s">
        <v>200</v>
      </c>
      <c r="Q151" s="1">
        <v>8</v>
      </c>
    </row>
    <row r="152" spans="1:17" x14ac:dyDescent="0.25">
      <c r="A152" s="6" t="s">
        <v>393</v>
      </c>
      <c r="B152" s="1"/>
      <c r="C152" s="1">
        <v>1</v>
      </c>
      <c r="D152" s="1">
        <v>3</v>
      </c>
      <c r="E152" s="1">
        <v>4</v>
      </c>
      <c r="P152" s="6" t="s">
        <v>237</v>
      </c>
      <c r="Q152" s="1">
        <v>4</v>
      </c>
    </row>
    <row r="153" spans="1:17" x14ac:dyDescent="0.25">
      <c r="A153" s="6" t="s">
        <v>241</v>
      </c>
      <c r="B153" s="1"/>
      <c r="C153" s="1">
        <v>2</v>
      </c>
      <c r="D153" s="1">
        <v>1</v>
      </c>
      <c r="E153" s="1">
        <v>3</v>
      </c>
      <c r="P153" s="6" t="s">
        <v>206</v>
      </c>
      <c r="Q153" s="1">
        <v>9</v>
      </c>
    </row>
    <row r="154" spans="1:17" x14ac:dyDescent="0.25">
      <c r="A154" s="6" t="s">
        <v>168</v>
      </c>
      <c r="B154" s="1"/>
      <c r="C154" s="1">
        <v>2</v>
      </c>
      <c r="D154" s="1">
        <v>1</v>
      </c>
      <c r="E154" s="1">
        <v>3</v>
      </c>
      <c r="P154" s="6" t="s">
        <v>610</v>
      </c>
      <c r="Q154" s="1">
        <v>63</v>
      </c>
    </row>
    <row r="155" spans="1:17" x14ac:dyDescent="0.25">
      <c r="A155" s="6" t="s">
        <v>228</v>
      </c>
      <c r="B155" s="1">
        <v>1</v>
      </c>
      <c r="C155" s="1">
        <v>1</v>
      </c>
      <c r="D155" s="1">
        <v>1</v>
      </c>
      <c r="E155" s="1">
        <v>3</v>
      </c>
    </row>
    <row r="156" spans="1:17" x14ac:dyDescent="0.25">
      <c r="A156" s="6" t="s">
        <v>237</v>
      </c>
      <c r="B156" s="1">
        <v>1</v>
      </c>
      <c r="C156" s="1">
        <v>1</v>
      </c>
      <c r="D156" s="1">
        <v>1</v>
      </c>
      <c r="E156" s="1">
        <v>3</v>
      </c>
    </row>
    <row r="157" spans="1:17" x14ac:dyDescent="0.25">
      <c r="A157" s="6" t="s">
        <v>566</v>
      </c>
      <c r="B157" s="1"/>
      <c r="C157" s="1"/>
      <c r="D157" s="1">
        <v>2</v>
      </c>
      <c r="E157" s="1">
        <v>2</v>
      </c>
    </row>
    <row r="158" spans="1:17" x14ac:dyDescent="0.25">
      <c r="A158" s="6" t="s">
        <v>263</v>
      </c>
      <c r="B158" s="1"/>
      <c r="C158" s="1">
        <v>1</v>
      </c>
      <c r="D158" s="1">
        <v>1</v>
      </c>
      <c r="E158" s="1">
        <v>2</v>
      </c>
    </row>
    <row r="159" spans="1:17" x14ac:dyDescent="0.25">
      <c r="A159" s="6" t="s">
        <v>258</v>
      </c>
      <c r="B159" s="1">
        <v>1</v>
      </c>
      <c r="C159" s="1"/>
      <c r="D159" s="1">
        <v>1</v>
      </c>
      <c r="E159" s="1">
        <v>2</v>
      </c>
    </row>
    <row r="160" spans="1:17" x14ac:dyDescent="0.25">
      <c r="A160" s="6" t="s">
        <v>578</v>
      </c>
      <c r="B160" s="1"/>
      <c r="C160" s="1"/>
      <c r="D160" s="1">
        <v>2</v>
      </c>
      <c r="E160" s="1">
        <v>2</v>
      </c>
    </row>
    <row r="161" spans="1:5" x14ac:dyDescent="0.25">
      <c r="A161" s="6" t="s">
        <v>250</v>
      </c>
      <c r="B161" s="1">
        <v>1</v>
      </c>
      <c r="C161" s="1"/>
      <c r="D161" s="1">
        <v>1</v>
      </c>
      <c r="E161" s="1">
        <v>2</v>
      </c>
    </row>
    <row r="162" spans="1:5" x14ac:dyDescent="0.25">
      <c r="A162" s="6" t="s">
        <v>220</v>
      </c>
      <c r="B162" s="1"/>
      <c r="C162" s="1"/>
      <c r="D162" s="1">
        <v>2</v>
      </c>
      <c r="E162" s="1">
        <v>2</v>
      </c>
    </row>
    <row r="163" spans="1:5" x14ac:dyDescent="0.25">
      <c r="A163" s="6" t="s">
        <v>407</v>
      </c>
      <c r="B163" s="1">
        <v>1</v>
      </c>
      <c r="C163" s="1"/>
      <c r="D163" s="1">
        <v>1</v>
      </c>
      <c r="E163" s="1">
        <v>2</v>
      </c>
    </row>
    <row r="164" spans="1:5" x14ac:dyDescent="0.25">
      <c r="A164" s="6" t="s">
        <v>575</v>
      </c>
      <c r="B164" s="1"/>
      <c r="C164" s="1"/>
      <c r="D164" s="1">
        <v>2</v>
      </c>
      <c r="E164" s="1">
        <v>2</v>
      </c>
    </row>
    <row r="165" spans="1:5" x14ac:dyDescent="0.25">
      <c r="A165" s="6" t="s">
        <v>416</v>
      </c>
      <c r="B165" s="1"/>
      <c r="C165" s="1">
        <v>1</v>
      </c>
      <c r="D165" s="1">
        <v>1</v>
      </c>
      <c r="E165" s="1">
        <v>2</v>
      </c>
    </row>
    <row r="166" spans="1:5" x14ac:dyDescent="0.25">
      <c r="A166" s="6" t="s">
        <v>211</v>
      </c>
      <c r="B166" s="1"/>
      <c r="C166" s="1"/>
      <c r="D166" s="1">
        <v>2</v>
      </c>
      <c r="E166" s="1">
        <v>2</v>
      </c>
    </row>
    <row r="167" spans="1:5" x14ac:dyDescent="0.25">
      <c r="A167" s="6" t="s">
        <v>553</v>
      </c>
      <c r="B167" s="1"/>
      <c r="C167" s="1"/>
      <c r="D167" s="1">
        <v>2</v>
      </c>
      <c r="E167" s="1">
        <v>2</v>
      </c>
    </row>
    <row r="168" spans="1:5" x14ac:dyDescent="0.25">
      <c r="A168" s="6" t="s">
        <v>206</v>
      </c>
      <c r="B168" s="1"/>
      <c r="C168" s="1"/>
      <c r="D168" s="1">
        <v>2</v>
      </c>
      <c r="E168" s="1">
        <v>2</v>
      </c>
    </row>
    <row r="169" spans="1:5" x14ac:dyDescent="0.25">
      <c r="A169" s="6" t="s">
        <v>560</v>
      </c>
      <c r="B169" s="1"/>
      <c r="C169" s="1"/>
      <c r="D169" s="1">
        <v>2</v>
      </c>
      <c r="E169" s="1">
        <v>2</v>
      </c>
    </row>
    <row r="170" spans="1:5" x14ac:dyDescent="0.25">
      <c r="A170" s="6" t="s">
        <v>582</v>
      </c>
      <c r="B170" s="1"/>
      <c r="C170" s="1"/>
      <c r="D170" s="1">
        <v>2</v>
      </c>
      <c r="E170" s="1">
        <v>2</v>
      </c>
    </row>
    <row r="171" spans="1:5" x14ac:dyDescent="0.25">
      <c r="A171" s="6" t="s">
        <v>585</v>
      </c>
      <c r="B171" s="1"/>
      <c r="C171" s="1"/>
      <c r="D171" s="1">
        <v>2</v>
      </c>
      <c r="E171" s="1">
        <v>2</v>
      </c>
    </row>
    <row r="172" spans="1:5" x14ac:dyDescent="0.25">
      <c r="A172" s="6" t="s">
        <v>180</v>
      </c>
      <c r="B172" s="1"/>
      <c r="C172" s="1"/>
      <c r="D172" s="1">
        <v>2</v>
      </c>
      <c r="E172" s="1">
        <v>2</v>
      </c>
    </row>
    <row r="173" spans="1:5" x14ac:dyDescent="0.25">
      <c r="A173" s="6" t="s">
        <v>588</v>
      </c>
      <c r="B173" s="1"/>
      <c r="C173" s="1"/>
      <c r="D173" s="1">
        <v>1</v>
      </c>
      <c r="E173" s="1">
        <v>1</v>
      </c>
    </row>
    <row r="174" spans="1:5" x14ac:dyDescent="0.25">
      <c r="A174" s="6" t="s">
        <v>572</v>
      </c>
      <c r="B174" s="1"/>
      <c r="C174" s="1"/>
      <c r="D174" s="1">
        <v>1</v>
      </c>
      <c r="E174" s="1">
        <v>1</v>
      </c>
    </row>
    <row r="175" spans="1:5" x14ac:dyDescent="0.25">
      <c r="A175" s="6" t="s">
        <v>594</v>
      </c>
      <c r="B175" s="1"/>
      <c r="C175" s="1"/>
      <c r="D175" s="1">
        <v>1</v>
      </c>
      <c r="E175" s="1">
        <v>1</v>
      </c>
    </row>
    <row r="176" spans="1:5" x14ac:dyDescent="0.25">
      <c r="A176" s="6" t="s">
        <v>591</v>
      </c>
      <c r="B176" s="1"/>
      <c r="C176" s="1"/>
      <c r="D176" s="1">
        <v>1</v>
      </c>
      <c r="E176" s="1">
        <v>1</v>
      </c>
    </row>
    <row r="177" spans="1:14" x14ac:dyDescent="0.25">
      <c r="A177" s="6" t="s">
        <v>597</v>
      </c>
      <c r="B177" s="1"/>
      <c r="C177" s="1"/>
      <c r="D177" s="1">
        <v>1</v>
      </c>
      <c r="E177" s="1">
        <v>1</v>
      </c>
      <c r="M177" s="5" t="s">
        <v>609</v>
      </c>
      <c r="N177" t="s">
        <v>614</v>
      </c>
    </row>
    <row r="178" spans="1:14" x14ac:dyDescent="0.25">
      <c r="A178" s="6" t="s">
        <v>610</v>
      </c>
      <c r="B178" s="1">
        <v>5</v>
      </c>
      <c r="C178" s="1">
        <v>10</v>
      </c>
      <c r="D178" s="1">
        <v>48</v>
      </c>
      <c r="E178" s="1">
        <v>63</v>
      </c>
      <c r="M178" s="6" t="s">
        <v>200</v>
      </c>
      <c r="N178" s="1">
        <v>20</v>
      </c>
    </row>
    <row r="179" spans="1:14" x14ac:dyDescent="0.25">
      <c r="M179" s="6" t="s">
        <v>7</v>
      </c>
      <c r="N179" s="1">
        <v>18</v>
      </c>
    </row>
    <row r="180" spans="1:14" x14ac:dyDescent="0.25">
      <c r="M180" s="6" t="s">
        <v>393</v>
      </c>
      <c r="N180" s="1">
        <v>15</v>
      </c>
    </row>
    <row r="181" spans="1:14" x14ac:dyDescent="0.25">
      <c r="M181" s="6" t="s">
        <v>237</v>
      </c>
      <c r="N181" s="1">
        <v>13</v>
      </c>
    </row>
    <row r="182" spans="1:14" x14ac:dyDescent="0.25">
      <c r="M182" s="6" t="s">
        <v>168</v>
      </c>
      <c r="N182" s="1">
        <v>12</v>
      </c>
    </row>
    <row r="183" spans="1:14" x14ac:dyDescent="0.25">
      <c r="M183" s="6" t="s">
        <v>228</v>
      </c>
      <c r="N183" s="1">
        <v>12</v>
      </c>
    </row>
    <row r="184" spans="1:14" x14ac:dyDescent="0.25">
      <c r="M184" s="6" t="s">
        <v>241</v>
      </c>
      <c r="N184" s="1">
        <v>11</v>
      </c>
    </row>
    <row r="185" spans="1:14" x14ac:dyDescent="0.25">
      <c r="M185" s="6" t="s">
        <v>180</v>
      </c>
      <c r="N185" s="1">
        <v>9</v>
      </c>
    </row>
    <row r="186" spans="1:14" x14ac:dyDescent="0.25">
      <c r="M186" s="6" t="s">
        <v>407</v>
      </c>
      <c r="N186" s="1">
        <v>8</v>
      </c>
    </row>
    <row r="187" spans="1:14" x14ac:dyDescent="0.25">
      <c r="M187" s="6" t="s">
        <v>220</v>
      </c>
      <c r="N187" s="1">
        <v>8</v>
      </c>
    </row>
    <row r="188" spans="1:14" x14ac:dyDescent="0.25">
      <c r="M188" s="6" t="s">
        <v>258</v>
      </c>
      <c r="N188" s="1">
        <v>8</v>
      </c>
    </row>
    <row r="189" spans="1:14" x14ac:dyDescent="0.25">
      <c r="M189" s="6" t="s">
        <v>416</v>
      </c>
      <c r="N189" s="1">
        <v>8</v>
      </c>
    </row>
    <row r="190" spans="1:14" x14ac:dyDescent="0.25">
      <c r="M190" s="6" t="s">
        <v>206</v>
      </c>
      <c r="N190" s="1">
        <v>8</v>
      </c>
    </row>
    <row r="191" spans="1:14" x14ac:dyDescent="0.25">
      <c r="M191" s="6" t="s">
        <v>263</v>
      </c>
      <c r="N191" s="1">
        <v>8</v>
      </c>
    </row>
    <row r="192" spans="1:14" x14ac:dyDescent="0.25">
      <c r="M192" s="6" t="s">
        <v>250</v>
      </c>
      <c r="N192" s="1">
        <v>8</v>
      </c>
    </row>
    <row r="193" spans="13:14" x14ac:dyDescent="0.25">
      <c r="M193" s="6" t="s">
        <v>553</v>
      </c>
      <c r="N193" s="1">
        <v>7</v>
      </c>
    </row>
    <row r="194" spans="13:14" x14ac:dyDescent="0.25">
      <c r="M194" s="6" t="s">
        <v>585</v>
      </c>
      <c r="N194" s="1">
        <v>7</v>
      </c>
    </row>
    <row r="195" spans="13:14" x14ac:dyDescent="0.25">
      <c r="M195" s="6" t="s">
        <v>211</v>
      </c>
      <c r="N195" s="1">
        <v>7</v>
      </c>
    </row>
    <row r="196" spans="13:14" x14ac:dyDescent="0.25">
      <c r="M196" s="6" t="s">
        <v>560</v>
      </c>
      <c r="N196" s="1">
        <v>7</v>
      </c>
    </row>
    <row r="197" spans="13:14" x14ac:dyDescent="0.25">
      <c r="M197" s="6" t="s">
        <v>566</v>
      </c>
      <c r="N197" s="1">
        <v>7</v>
      </c>
    </row>
    <row r="198" spans="13:14" x14ac:dyDescent="0.25">
      <c r="M198" s="6" t="s">
        <v>582</v>
      </c>
      <c r="N198" s="1">
        <v>6</v>
      </c>
    </row>
    <row r="199" spans="13:14" x14ac:dyDescent="0.25">
      <c r="M199" s="6" t="s">
        <v>575</v>
      </c>
      <c r="N199" s="1">
        <v>6</v>
      </c>
    </row>
    <row r="200" spans="13:14" x14ac:dyDescent="0.25">
      <c r="M200" s="6" t="s">
        <v>578</v>
      </c>
      <c r="N200" s="1">
        <v>6</v>
      </c>
    </row>
    <row r="201" spans="13:14" x14ac:dyDescent="0.25">
      <c r="M201" s="6" t="s">
        <v>597</v>
      </c>
      <c r="N201" s="1">
        <v>4</v>
      </c>
    </row>
    <row r="202" spans="13:14" x14ac:dyDescent="0.25">
      <c r="M202" s="6" t="s">
        <v>591</v>
      </c>
      <c r="N202" s="1">
        <v>3</v>
      </c>
    </row>
    <row r="203" spans="13:14" x14ac:dyDescent="0.25">
      <c r="M203" s="6" t="s">
        <v>594</v>
      </c>
      <c r="N203" s="1">
        <v>3</v>
      </c>
    </row>
    <row r="204" spans="13:14" x14ac:dyDescent="0.25">
      <c r="M204" s="6" t="s">
        <v>572</v>
      </c>
      <c r="N204" s="1">
        <v>2</v>
      </c>
    </row>
    <row r="205" spans="13:14" x14ac:dyDescent="0.25">
      <c r="M205" s="6" t="s">
        <v>588</v>
      </c>
      <c r="N205" s="1">
        <v>2</v>
      </c>
    </row>
    <row r="206" spans="13:14" x14ac:dyDescent="0.25">
      <c r="M206" s="6" t="s">
        <v>610</v>
      </c>
      <c r="N206" s="1">
        <v>233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9576D-4215-4381-9967-67579E6A82B2}">
  <dimension ref="A1"/>
  <sheetViews>
    <sheetView tabSelected="1" topLeftCell="A40" workbookViewId="0">
      <selection activeCell="AB11" sqref="AB11"/>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8DB9-2A6C-4290-9585-7B05A44FF6C2}">
  <dimension ref="A1:V65"/>
  <sheetViews>
    <sheetView workbookViewId="0">
      <selection activeCell="N18" sqref="N18"/>
    </sheetView>
  </sheetViews>
  <sheetFormatPr defaultRowHeight="15" x14ac:dyDescent="0.25"/>
  <cols>
    <col min="1" max="4" width="9.140625" style="11"/>
    <col min="5" max="5" width="28.28515625" style="11" bestFit="1" customWidth="1"/>
    <col min="6" max="6" width="14" style="11" bestFit="1" customWidth="1"/>
    <col min="7" max="7" width="10.28515625" style="11" bestFit="1" customWidth="1"/>
    <col min="8" max="8" width="11.5703125" style="11" bestFit="1" customWidth="1"/>
    <col min="9" max="9" width="12.5703125" style="11" bestFit="1" customWidth="1"/>
    <col min="10" max="10" width="9.7109375" style="11" bestFit="1" customWidth="1"/>
    <col min="11" max="11" width="10.85546875" style="11" bestFit="1" customWidth="1"/>
    <col min="12" max="12" width="11.28515625" style="11" bestFit="1" customWidth="1"/>
    <col min="13" max="13" width="9.140625" style="11"/>
    <col min="14" max="14" width="25" style="11" bestFit="1" customWidth="1"/>
    <col min="15" max="15" width="7.85546875" style="11" bestFit="1" customWidth="1"/>
    <col min="16" max="17" width="12.5703125" style="11" bestFit="1" customWidth="1"/>
    <col min="18" max="18" width="45.28515625" style="11" bestFit="1" customWidth="1"/>
    <col min="19" max="19" width="6.5703125" style="11" bestFit="1" customWidth="1"/>
    <col min="20" max="20" width="9.7109375" style="11" bestFit="1" customWidth="1"/>
    <col min="21" max="21" width="10.85546875" style="11" bestFit="1" customWidth="1"/>
    <col min="22" max="23" width="11.28515625" style="11" bestFit="1" customWidth="1"/>
    <col min="24" max="16384" width="9.140625" style="11"/>
  </cols>
  <sheetData>
    <row r="1" spans="1:9" x14ac:dyDescent="0.25">
      <c r="A1" s="11" t="s">
        <v>627</v>
      </c>
    </row>
    <row r="9" spans="1:9" ht="18.75" x14ac:dyDescent="0.3">
      <c r="E9" s="24" t="s">
        <v>628</v>
      </c>
      <c r="F9" s="17"/>
      <c r="G9" s="17"/>
      <c r="H9" s="17"/>
      <c r="I9" s="17"/>
    </row>
    <row r="10" spans="1:9" ht="15.75" x14ac:dyDescent="0.25">
      <c r="E10" s="17"/>
      <c r="F10" s="21" t="s">
        <v>30</v>
      </c>
      <c r="G10" s="22" t="s">
        <v>326</v>
      </c>
      <c r="H10" s="23" t="s">
        <v>92</v>
      </c>
      <c r="I10" s="23" t="s">
        <v>610</v>
      </c>
    </row>
    <row r="11" spans="1:9" ht="15.75" x14ac:dyDescent="0.25">
      <c r="E11" s="15" t="s">
        <v>157</v>
      </c>
      <c r="F11" s="16"/>
      <c r="G11" s="16"/>
      <c r="H11" s="16">
        <v>7</v>
      </c>
      <c r="I11" s="16">
        <v>7</v>
      </c>
    </row>
    <row r="12" spans="1:9" ht="15.75" x14ac:dyDescent="0.25">
      <c r="E12" s="15" t="s">
        <v>169</v>
      </c>
      <c r="F12" s="16">
        <v>1</v>
      </c>
      <c r="G12" s="16">
        <v>2</v>
      </c>
      <c r="H12" s="16">
        <v>3</v>
      </c>
      <c r="I12" s="16">
        <v>6</v>
      </c>
    </row>
    <row r="13" spans="1:9" ht="15.75" x14ac:dyDescent="0.25">
      <c r="E13" s="15" t="s">
        <v>165</v>
      </c>
      <c r="F13" s="16"/>
      <c r="G13" s="16">
        <v>4</v>
      </c>
      <c r="H13" s="16">
        <v>7</v>
      </c>
      <c r="I13" s="16">
        <v>11</v>
      </c>
    </row>
    <row r="14" spans="1:9" ht="15.75" x14ac:dyDescent="0.25">
      <c r="E14" s="15" t="s">
        <v>305</v>
      </c>
      <c r="F14" s="16"/>
      <c r="G14" s="16">
        <v>2</v>
      </c>
      <c r="H14" s="16">
        <v>20</v>
      </c>
      <c r="I14" s="16">
        <v>22</v>
      </c>
    </row>
    <row r="15" spans="1:9" ht="15.75" x14ac:dyDescent="0.25">
      <c r="E15" s="15" t="s">
        <v>571</v>
      </c>
      <c r="F15" s="16"/>
      <c r="G15" s="16"/>
      <c r="H15" s="16">
        <v>1</v>
      </c>
      <c r="I15" s="16">
        <v>1</v>
      </c>
    </row>
    <row r="16" spans="1:9" ht="15.75" x14ac:dyDescent="0.25">
      <c r="E16" s="15" t="s">
        <v>161</v>
      </c>
      <c r="F16" s="16">
        <v>2</v>
      </c>
      <c r="G16" s="16">
        <v>1</v>
      </c>
      <c r="H16" s="16">
        <v>8</v>
      </c>
      <c r="I16" s="16">
        <v>11</v>
      </c>
    </row>
    <row r="17" spans="5:22" ht="15.75" x14ac:dyDescent="0.25">
      <c r="E17" s="15" t="s">
        <v>341</v>
      </c>
      <c r="F17" s="16">
        <v>2</v>
      </c>
      <c r="G17" s="16">
        <v>1</v>
      </c>
      <c r="H17" s="16">
        <v>2</v>
      </c>
      <c r="I17" s="16">
        <v>5</v>
      </c>
    </row>
    <row r="18" spans="5:22" ht="15.75" x14ac:dyDescent="0.25">
      <c r="E18" s="15" t="s">
        <v>610</v>
      </c>
      <c r="F18" s="16">
        <v>5</v>
      </c>
      <c r="G18" s="18">
        <v>10</v>
      </c>
      <c r="H18" s="20">
        <v>48</v>
      </c>
      <c r="I18" s="19">
        <v>63</v>
      </c>
    </row>
    <row r="21" spans="5:22" ht="18.75" x14ac:dyDescent="0.3">
      <c r="E21" s="17"/>
      <c r="F21" s="25" t="s">
        <v>629</v>
      </c>
      <c r="H21" s="24" t="s">
        <v>630</v>
      </c>
      <c r="I21" s="14"/>
      <c r="J21" s="14"/>
      <c r="K21" s="14"/>
      <c r="L21" s="14"/>
      <c r="N21" s="24" t="s">
        <v>631</v>
      </c>
      <c r="O21" s="17"/>
      <c r="P21" s="17"/>
      <c r="R21" s="24" t="s">
        <v>632</v>
      </c>
      <c r="S21" s="14"/>
      <c r="T21" s="14"/>
      <c r="U21" s="14"/>
      <c r="V21" s="14"/>
    </row>
    <row r="22" spans="5:22" ht="15.75" x14ac:dyDescent="0.25">
      <c r="E22" s="15" t="s">
        <v>206</v>
      </c>
      <c r="F22" s="16">
        <v>9</v>
      </c>
      <c r="H22" s="14"/>
      <c r="I22" s="14" t="s">
        <v>30</v>
      </c>
      <c r="J22" s="14" t="s">
        <v>326</v>
      </c>
      <c r="K22" s="14" t="s">
        <v>92</v>
      </c>
      <c r="L22" s="14" t="s">
        <v>610</v>
      </c>
      <c r="N22" s="17"/>
      <c r="O22" s="17" t="s">
        <v>30</v>
      </c>
      <c r="P22" s="17" t="s">
        <v>610</v>
      </c>
      <c r="R22" s="14"/>
      <c r="S22" s="14" t="s">
        <v>30</v>
      </c>
      <c r="T22" s="14" t="s">
        <v>326</v>
      </c>
      <c r="U22" s="14" t="s">
        <v>92</v>
      </c>
      <c r="V22" s="14" t="s">
        <v>610</v>
      </c>
    </row>
    <row r="23" spans="5:22" ht="15.75" x14ac:dyDescent="0.25">
      <c r="E23" s="15" t="s">
        <v>200</v>
      </c>
      <c r="F23" s="16">
        <v>8</v>
      </c>
      <c r="H23" s="12" t="s">
        <v>60</v>
      </c>
      <c r="I23" s="13">
        <v>1</v>
      </c>
      <c r="J23" s="13"/>
      <c r="K23" s="13">
        <v>5</v>
      </c>
      <c r="L23" s="13">
        <v>6</v>
      </c>
      <c r="N23" s="15" t="s">
        <v>164</v>
      </c>
      <c r="O23" s="16">
        <v>4408.5</v>
      </c>
      <c r="P23" s="16">
        <v>4408.5</v>
      </c>
      <c r="R23" s="12" t="s">
        <v>371</v>
      </c>
      <c r="S23" s="13"/>
      <c r="T23" s="13">
        <v>1</v>
      </c>
      <c r="U23" s="13">
        <v>2</v>
      </c>
      <c r="V23" s="13">
        <v>3</v>
      </c>
    </row>
    <row r="24" spans="5:22" ht="15.75" x14ac:dyDescent="0.25">
      <c r="E24" s="15" t="s">
        <v>211</v>
      </c>
      <c r="F24" s="16">
        <v>7</v>
      </c>
      <c r="H24" s="12" t="s">
        <v>66</v>
      </c>
      <c r="I24" s="13"/>
      <c r="J24" s="13"/>
      <c r="K24" s="13">
        <v>5</v>
      </c>
      <c r="L24" s="13">
        <v>5</v>
      </c>
      <c r="N24" s="15" t="s">
        <v>160</v>
      </c>
      <c r="O24" s="16">
        <v>3831</v>
      </c>
      <c r="P24" s="16">
        <v>3831</v>
      </c>
      <c r="R24" s="12" t="s">
        <v>325</v>
      </c>
      <c r="S24" s="13"/>
      <c r="T24" s="13">
        <v>2</v>
      </c>
      <c r="U24" s="13">
        <v>1</v>
      </c>
      <c r="V24" s="13">
        <v>3</v>
      </c>
    </row>
    <row r="25" spans="5:22" ht="15.75" x14ac:dyDescent="0.25">
      <c r="E25" s="15" t="s">
        <v>220</v>
      </c>
      <c r="F25" s="16">
        <v>5</v>
      </c>
      <c r="H25" s="12" t="s">
        <v>78</v>
      </c>
      <c r="I25" s="13"/>
      <c r="J25" s="13"/>
      <c r="K25" s="13">
        <v>5</v>
      </c>
      <c r="L25" s="13">
        <v>5</v>
      </c>
      <c r="N25" s="15" t="s">
        <v>7</v>
      </c>
      <c r="O25" s="16">
        <v>2737.5</v>
      </c>
      <c r="P25" s="16">
        <v>2737.5</v>
      </c>
      <c r="R25" s="12" t="s">
        <v>350</v>
      </c>
      <c r="S25" s="13"/>
      <c r="T25" s="13">
        <v>1</v>
      </c>
      <c r="U25" s="13">
        <v>1</v>
      </c>
      <c r="V25" s="13">
        <v>2</v>
      </c>
    </row>
    <row r="26" spans="5:22" ht="15.75" x14ac:dyDescent="0.25">
      <c r="E26" s="15" t="s">
        <v>168</v>
      </c>
      <c r="F26" s="16">
        <v>5</v>
      </c>
      <c r="H26" s="12" t="s">
        <v>72</v>
      </c>
      <c r="I26" s="13"/>
      <c r="J26" s="13"/>
      <c r="K26" s="13">
        <v>5</v>
      </c>
      <c r="L26" s="13">
        <v>5</v>
      </c>
      <c r="N26" s="15" t="s">
        <v>186</v>
      </c>
      <c r="O26" s="16">
        <v>3825</v>
      </c>
      <c r="P26" s="16">
        <v>3825</v>
      </c>
      <c r="R26" s="12" t="s">
        <v>376</v>
      </c>
      <c r="S26" s="13"/>
      <c r="T26" s="13"/>
      <c r="U26" s="13">
        <v>2</v>
      </c>
      <c r="V26" s="13">
        <v>2</v>
      </c>
    </row>
    <row r="27" spans="5:22" ht="15.75" x14ac:dyDescent="0.25">
      <c r="E27" s="15" t="s">
        <v>241</v>
      </c>
      <c r="F27" s="16">
        <v>5</v>
      </c>
      <c r="H27" s="12" t="s">
        <v>54</v>
      </c>
      <c r="I27" s="13"/>
      <c r="J27" s="13"/>
      <c r="K27" s="13">
        <v>5</v>
      </c>
      <c r="L27" s="13">
        <v>5</v>
      </c>
      <c r="N27" s="15" t="s">
        <v>180</v>
      </c>
      <c r="O27" s="16">
        <v>3388</v>
      </c>
      <c r="P27" s="16">
        <v>3388</v>
      </c>
      <c r="R27" s="12" t="s">
        <v>392</v>
      </c>
      <c r="S27" s="13"/>
      <c r="T27" s="13">
        <v>1</v>
      </c>
      <c r="U27" s="13">
        <v>1</v>
      </c>
      <c r="V27" s="13">
        <v>2</v>
      </c>
    </row>
    <row r="28" spans="5:22" ht="15.75" x14ac:dyDescent="0.25">
      <c r="E28" s="15" t="s">
        <v>180</v>
      </c>
      <c r="F28" s="16">
        <v>5</v>
      </c>
      <c r="H28" s="12" t="s">
        <v>337</v>
      </c>
      <c r="I28" s="13">
        <v>1</v>
      </c>
      <c r="J28" s="13"/>
      <c r="K28" s="13"/>
      <c r="L28" s="13">
        <v>1</v>
      </c>
      <c r="N28" s="15" t="s">
        <v>173</v>
      </c>
      <c r="O28" s="16">
        <v>2040.5</v>
      </c>
      <c r="P28" s="16">
        <v>2040.5</v>
      </c>
      <c r="R28" s="12" t="s">
        <v>415</v>
      </c>
      <c r="S28" s="13"/>
      <c r="T28" s="13">
        <v>1</v>
      </c>
      <c r="U28" s="13">
        <v>1</v>
      </c>
      <c r="V28" s="13">
        <v>2</v>
      </c>
    </row>
    <row r="29" spans="5:22" ht="15.75" x14ac:dyDescent="0.25">
      <c r="E29" s="15" t="s">
        <v>263</v>
      </c>
      <c r="F29" s="16">
        <v>5</v>
      </c>
      <c r="H29" s="12" t="s">
        <v>489</v>
      </c>
      <c r="I29" s="13"/>
      <c r="J29" s="13"/>
      <c r="K29" s="13">
        <v>1</v>
      </c>
      <c r="L29" s="13">
        <v>1</v>
      </c>
      <c r="N29" s="15" t="s">
        <v>183</v>
      </c>
      <c r="O29" s="16">
        <v>3357.5</v>
      </c>
      <c r="P29" s="16">
        <v>3357.5</v>
      </c>
      <c r="R29" s="12" t="s">
        <v>559</v>
      </c>
      <c r="S29" s="13"/>
      <c r="T29" s="13"/>
      <c r="U29" s="13">
        <v>5</v>
      </c>
      <c r="V29" s="13">
        <v>5</v>
      </c>
    </row>
    <row r="30" spans="5:22" ht="15.75" x14ac:dyDescent="0.25">
      <c r="E30" s="15" t="s">
        <v>258</v>
      </c>
      <c r="F30" s="16">
        <v>4</v>
      </c>
      <c r="H30" s="12" t="s">
        <v>265</v>
      </c>
      <c r="I30" s="13"/>
      <c r="J30" s="13"/>
      <c r="K30" s="13">
        <v>1</v>
      </c>
      <c r="L30" s="13">
        <v>1</v>
      </c>
      <c r="N30" s="15" t="s">
        <v>610</v>
      </c>
      <c r="O30" s="16">
        <v>23588</v>
      </c>
      <c r="P30" s="16">
        <v>23588</v>
      </c>
      <c r="R30" s="12" t="s">
        <v>315</v>
      </c>
      <c r="S30" s="13">
        <v>1</v>
      </c>
      <c r="T30" s="13">
        <v>1</v>
      </c>
      <c r="U30" s="13">
        <v>1</v>
      </c>
      <c r="V30" s="13">
        <v>3</v>
      </c>
    </row>
    <row r="31" spans="5:22" ht="15.75" x14ac:dyDescent="0.25">
      <c r="E31" s="15" t="s">
        <v>237</v>
      </c>
      <c r="F31" s="16">
        <v>4</v>
      </c>
      <c r="H31" s="12" t="s">
        <v>389</v>
      </c>
      <c r="I31" s="13"/>
      <c r="J31" s="13">
        <v>1</v>
      </c>
      <c r="K31" s="13"/>
      <c r="L31" s="13">
        <v>1</v>
      </c>
      <c r="R31" s="12" t="s">
        <v>355</v>
      </c>
      <c r="S31" s="13"/>
      <c r="T31" s="13"/>
      <c r="U31" s="13">
        <v>2</v>
      </c>
      <c r="V31" s="13">
        <v>2</v>
      </c>
    </row>
    <row r="32" spans="5:22" ht="15.75" x14ac:dyDescent="0.25">
      <c r="E32" s="15" t="s">
        <v>228</v>
      </c>
      <c r="F32" s="16">
        <v>3</v>
      </c>
      <c r="H32" s="12" t="s">
        <v>252</v>
      </c>
      <c r="I32" s="13"/>
      <c r="J32" s="13"/>
      <c r="K32" s="13">
        <v>1</v>
      </c>
      <c r="L32" s="13">
        <v>1</v>
      </c>
      <c r="R32" s="12" t="s">
        <v>552</v>
      </c>
      <c r="S32" s="13"/>
      <c r="T32" s="13"/>
      <c r="U32" s="13">
        <v>6</v>
      </c>
      <c r="V32" s="13">
        <v>6</v>
      </c>
    </row>
    <row r="33" spans="5:22" ht="15.75" x14ac:dyDescent="0.25">
      <c r="E33" s="15" t="s">
        <v>250</v>
      </c>
      <c r="F33" s="16">
        <v>3</v>
      </c>
      <c r="H33" s="12" t="s">
        <v>260</v>
      </c>
      <c r="I33" s="13"/>
      <c r="J33" s="13"/>
      <c r="K33" s="13">
        <v>1</v>
      </c>
      <c r="L33" s="13">
        <v>1</v>
      </c>
      <c r="R33" s="12" t="s">
        <v>304</v>
      </c>
      <c r="S33" s="13"/>
      <c r="T33" s="13">
        <v>1</v>
      </c>
      <c r="U33" s="13">
        <v>3</v>
      </c>
      <c r="V33" s="13">
        <v>4</v>
      </c>
    </row>
    <row r="34" spans="5:22" ht="15.75" x14ac:dyDescent="0.25">
      <c r="E34" s="15" t="s">
        <v>610</v>
      </c>
      <c r="F34" s="16">
        <v>63</v>
      </c>
      <c r="H34" s="12" t="s">
        <v>208</v>
      </c>
      <c r="I34" s="13"/>
      <c r="J34" s="13"/>
      <c r="K34" s="13">
        <v>1</v>
      </c>
      <c r="L34" s="13">
        <v>1</v>
      </c>
      <c r="R34" s="12" t="s">
        <v>363</v>
      </c>
      <c r="S34" s="13">
        <v>1</v>
      </c>
      <c r="T34" s="13"/>
      <c r="U34" s="13">
        <v>1</v>
      </c>
      <c r="V34" s="13">
        <v>2</v>
      </c>
    </row>
    <row r="35" spans="5:22" x14ac:dyDescent="0.25">
      <c r="H35" s="12" t="s">
        <v>412</v>
      </c>
      <c r="I35" s="13"/>
      <c r="J35" s="13">
        <v>1</v>
      </c>
      <c r="K35" s="13"/>
      <c r="L35" s="13">
        <v>1</v>
      </c>
      <c r="R35" s="12" t="s">
        <v>533</v>
      </c>
      <c r="S35" s="13"/>
      <c r="T35" s="13"/>
      <c r="U35" s="13">
        <v>1</v>
      </c>
      <c r="V35" s="13">
        <v>1</v>
      </c>
    </row>
    <row r="36" spans="5:22" x14ac:dyDescent="0.25">
      <c r="H36" s="12" t="s">
        <v>255</v>
      </c>
      <c r="I36" s="13"/>
      <c r="J36" s="13"/>
      <c r="K36" s="13">
        <v>1</v>
      </c>
      <c r="L36" s="13">
        <v>1</v>
      </c>
      <c r="R36" s="12" t="s">
        <v>398</v>
      </c>
      <c r="S36" s="13"/>
      <c r="T36" s="13"/>
      <c r="U36" s="13">
        <v>2</v>
      </c>
      <c r="V36" s="13">
        <v>2</v>
      </c>
    </row>
    <row r="37" spans="5:22" x14ac:dyDescent="0.25">
      <c r="H37" s="12" t="s">
        <v>368</v>
      </c>
      <c r="I37" s="13"/>
      <c r="J37" s="13">
        <v>1</v>
      </c>
      <c r="K37" s="13"/>
      <c r="L37" s="13">
        <v>1</v>
      </c>
      <c r="R37" s="12" t="s">
        <v>340</v>
      </c>
      <c r="S37" s="13">
        <v>1</v>
      </c>
      <c r="T37" s="13">
        <v>1</v>
      </c>
      <c r="U37" s="13">
        <v>1</v>
      </c>
      <c r="V37" s="13">
        <v>3</v>
      </c>
    </row>
    <row r="38" spans="5:22" x14ac:dyDescent="0.25">
      <c r="H38" s="12" t="s">
        <v>475</v>
      </c>
      <c r="I38" s="13"/>
      <c r="J38" s="13"/>
      <c r="K38" s="13">
        <v>1</v>
      </c>
      <c r="L38" s="13">
        <v>1</v>
      </c>
      <c r="R38" s="12" t="s">
        <v>565</v>
      </c>
      <c r="S38" s="13"/>
      <c r="T38" s="13"/>
      <c r="U38" s="13">
        <v>5</v>
      </c>
      <c r="V38" s="13">
        <v>5</v>
      </c>
    </row>
    <row r="39" spans="5:22" x14ac:dyDescent="0.25">
      <c r="H39" s="12" t="s">
        <v>217</v>
      </c>
      <c r="I39" s="13"/>
      <c r="J39" s="13"/>
      <c r="K39" s="13">
        <v>1</v>
      </c>
      <c r="L39" s="13">
        <v>1</v>
      </c>
      <c r="R39" s="12" t="s">
        <v>332</v>
      </c>
      <c r="S39" s="13"/>
      <c r="T39" s="13">
        <v>1</v>
      </c>
      <c r="U39" s="13">
        <v>2</v>
      </c>
      <c r="V39" s="13">
        <v>3</v>
      </c>
    </row>
    <row r="40" spans="5:22" x14ac:dyDescent="0.25">
      <c r="H40" s="12" t="s">
        <v>243</v>
      </c>
      <c r="I40" s="13"/>
      <c r="J40" s="13"/>
      <c r="K40" s="13">
        <v>1</v>
      </c>
      <c r="L40" s="13">
        <v>1</v>
      </c>
      <c r="R40" s="12" t="s">
        <v>556</v>
      </c>
      <c r="S40" s="13"/>
      <c r="T40" s="13"/>
      <c r="U40" s="13">
        <v>5</v>
      </c>
      <c r="V40" s="13">
        <v>5</v>
      </c>
    </row>
    <row r="41" spans="5:22" x14ac:dyDescent="0.25">
      <c r="H41" s="12" t="s">
        <v>517</v>
      </c>
      <c r="I41" s="13"/>
      <c r="J41" s="13">
        <v>1</v>
      </c>
      <c r="K41" s="13"/>
      <c r="L41" s="13">
        <v>1</v>
      </c>
      <c r="R41" s="12" t="s">
        <v>384</v>
      </c>
      <c r="S41" s="13">
        <v>1</v>
      </c>
      <c r="T41" s="13"/>
      <c r="U41" s="13">
        <v>1</v>
      </c>
      <c r="V41" s="13">
        <v>2</v>
      </c>
    </row>
    <row r="42" spans="5:22" x14ac:dyDescent="0.25">
      <c r="H42" s="12" t="s">
        <v>347</v>
      </c>
      <c r="I42" s="13"/>
      <c r="J42" s="13">
        <v>1</v>
      </c>
      <c r="K42" s="13"/>
      <c r="L42" s="13">
        <v>1</v>
      </c>
      <c r="R42" s="12" t="s">
        <v>406</v>
      </c>
      <c r="S42" s="13">
        <v>1</v>
      </c>
      <c r="T42" s="13"/>
      <c r="U42" s="13">
        <v>1</v>
      </c>
      <c r="V42" s="13">
        <v>2</v>
      </c>
    </row>
    <row r="43" spans="5:22" x14ac:dyDescent="0.25">
      <c r="H43" s="12" t="s">
        <v>403</v>
      </c>
      <c r="I43" s="13">
        <v>1</v>
      </c>
      <c r="J43" s="13"/>
      <c r="K43" s="13"/>
      <c r="L43" s="13">
        <v>1</v>
      </c>
      <c r="R43" s="12" t="s">
        <v>581</v>
      </c>
      <c r="S43" s="13"/>
      <c r="T43" s="13"/>
      <c r="U43" s="13">
        <v>4</v>
      </c>
      <c r="V43" s="13">
        <v>4</v>
      </c>
    </row>
    <row r="44" spans="5:22" x14ac:dyDescent="0.25">
      <c r="H44" s="12" t="s">
        <v>226</v>
      </c>
      <c r="I44" s="13"/>
      <c r="J44" s="13"/>
      <c r="K44" s="13">
        <v>1</v>
      </c>
      <c r="L44" s="13">
        <v>1</v>
      </c>
      <c r="R44" s="12" t="s">
        <v>610</v>
      </c>
      <c r="S44" s="13">
        <v>5</v>
      </c>
      <c r="T44" s="13">
        <v>10</v>
      </c>
      <c r="U44" s="13">
        <v>48</v>
      </c>
      <c r="V44" s="13">
        <v>63</v>
      </c>
    </row>
    <row r="45" spans="5:22" x14ac:dyDescent="0.25">
      <c r="H45" s="12" t="s">
        <v>222</v>
      </c>
      <c r="I45" s="13"/>
      <c r="J45" s="13"/>
      <c r="K45" s="13">
        <v>1</v>
      </c>
      <c r="L45" s="13">
        <v>1</v>
      </c>
    </row>
    <row r="46" spans="5:22" x14ac:dyDescent="0.25">
      <c r="H46" s="12" t="s">
        <v>213</v>
      </c>
      <c r="I46" s="13"/>
      <c r="J46" s="13"/>
      <c r="K46" s="13">
        <v>1</v>
      </c>
      <c r="L46" s="13">
        <v>1</v>
      </c>
    </row>
    <row r="47" spans="5:22" x14ac:dyDescent="0.25">
      <c r="H47" s="12" t="s">
        <v>496</v>
      </c>
      <c r="I47" s="13"/>
      <c r="J47" s="13">
        <v>1</v>
      </c>
      <c r="K47" s="13"/>
      <c r="L47" s="13">
        <v>1</v>
      </c>
    </row>
    <row r="48" spans="5:22" x14ac:dyDescent="0.25">
      <c r="H48" s="12" t="s">
        <v>545</v>
      </c>
      <c r="I48" s="13"/>
      <c r="J48" s="13"/>
      <c r="K48" s="13">
        <v>1</v>
      </c>
      <c r="L48" s="13">
        <v>1</v>
      </c>
    </row>
    <row r="49" spans="8:12" x14ac:dyDescent="0.25">
      <c r="H49" s="12" t="s">
        <v>247</v>
      </c>
      <c r="I49" s="13"/>
      <c r="J49" s="13"/>
      <c r="K49" s="13">
        <v>1</v>
      </c>
      <c r="L49" s="13">
        <v>1</v>
      </c>
    </row>
    <row r="50" spans="8:12" x14ac:dyDescent="0.25">
      <c r="H50" s="12" t="s">
        <v>322</v>
      </c>
      <c r="I50" s="13"/>
      <c r="J50" s="13">
        <v>1</v>
      </c>
      <c r="K50" s="13"/>
      <c r="L50" s="13">
        <v>1</v>
      </c>
    </row>
    <row r="51" spans="8:12" x14ac:dyDescent="0.25">
      <c r="H51" s="12" t="s">
        <v>202</v>
      </c>
      <c r="I51" s="13"/>
      <c r="J51" s="13"/>
      <c r="K51" s="13">
        <v>1</v>
      </c>
      <c r="L51" s="13">
        <v>1</v>
      </c>
    </row>
    <row r="52" spans="8:12" x14ac:dyDescent="0.25">
      <c r="H52" s="12" t="s">
        <v>468</v>
      </c>
      <c r="I52" s="13"/>
      <c r="J52" s="13"/>
      <c r="K52" s="13">
        <v>1</v>
      </c>
      <c r="L52" s="13">
        <v>1</v>
      </c>
    </row>
    <row r="53" spans="8:12" x14ac:dyDescent="0.25">
      <c r="H53" s="12" t="s">
        <v>230</v>
      </c>
      <c r="I53" s="13"/>
      <c r="J53" s="13"/>
      <c r="K53" s="13">
        <v>1</v>
      </c>
      <c r="L53" s="13">
        <v>1</v>
      </c>
    </row>
    <row r="54" spans="8:12" x14ac:dyDescent="0.25">
      <c r="H54" s="12" t="s">
        <v>381</v>
      </c>
      <c r="I54" s="13">
        <v>1</v>
      </c>
      <c r="J54" s="13"/>
      <c r="K54" s="13"/>
      <c r="L54" s="13">
        <v>1</v>
      </c>
    </row>
    <row r="55" spans="8:12" x14ac:dyDescent="0.25">
      <c r="H55" s="12" t="s">
        <v>360</v>
      </c>
      <c r="I55" s="13">
        <v>1</v>
      </c>
      <c r="J55" s="13"/>
      <c r="K55" s="13"/>
      <c r="L55" s="13">
        <v>1</v>
      </c>
    </row>
    <row r="56" spans="8:12" x14ac:dyDescent="0.25">
      <c r="H56" s="12" t="s">
        <v>510</v>
      </c>
      <c r="I56" s="13"/>
      <c r="J56" s="13">
        <v>1</v>
      </c>
      <c r="K56" s="13"/>
      <c r="L56" s="13">
        <v>1</v>
      </c>
    </row>
    <row r="57" spans="8:12" x14ac:dyDescent="0.25">
      <c r="H57" s="12" t="s">
        <v>531</v>
      </c>
      <c r="I57" s="13"/>
      <c r="J57" s="13"/>
      <c r="K57" s="13">
        <v>1</v>
      </c>
      <c r="L57" s="13">
        <v>1</v>
      </c>
    </row>
    <row r="58" spans="8:12" x14ac:dyDescent="0.25">
      <c r="H58" s="12" t="s">
        <v>503</v>
      </c>
      <c r="I58" s="13"/>
      <c r="J58" s="13">
        <v>1</v>
      </c>
      <c r="K58" s="13"/>
      <c r="L58" s="13">
        <v>1</v>
      </c>
    </row>
    <row r="59" spans="8:12" x14ac:dyDescent="0.25">
      <c r="H59" s="12" t="s">
        <v>461</v>
      </c>
      <c r="I59" s="13"/>
      <c r="J59" s="13"/>
      <c r="K59" s="13">
        <v>1</v>
      </c>
      <c r="L59" s="13">
        <v>1</v>
      </c>
    </row>
    <row r="60" spans="8:12" x14ac:dyDescent="0.25">
      <c r="H60" s="12" t="s">
        <v>234</v>
      </c>
      <c r="I60" s="13"/>
      <c r="J60" s="13"/>
      <c r="K60" s="13">
        <v>1</v>
      </c>
      <c r="L60" s="13">
        <v>1</v>
      </c>
    </row>
    <row r="61" spans="8:12" x14ac:dyDescent="0.25">
      <c r="H61" s="12" t="s">
        <v>43</v>
      </c>
      <c r="I61" s="13"/>
      <c r="J61" s="13"/>
      <c r="K61" s="13">
        <v>1</v>
      </c>
      <c r="L61" s="13">
        <v>1</v>
      </c>
    </row>
    <row r="62" spans="8:12" x14ac:dyDescent="0.25">
      <c r="H62" s="12" t="s">
        <v>524</v>
      </c>
      <c r="I62" s="13"/>
      <c r="J62" s="13">
        <v>1</v>
      </c>
      <c r="K62" s="13"/>
      <c r="L62" s="13">
        <v>1</v>
      </c>
    </row>
    <row r="63" spans="8:12" x14ac:dyDescent="0.25">
      <c r="H63" s="12" t="s">
        <v>239</v>
      </c>
      <c r="I63" s="13"/>
      <c r="J63" s="13"/>
      <c r="K63" s="13">
        <v>1</v>
      </c>
      <c r="L63" s="13">
        <v>1</v>
      </c>
    </row>
    <row r="64" spans="8:12" x14ac:dyDescent="0.25">
      <c r="H64" s="12" t="s">
        <v>482</v>
      </c>
      <c r="I64" s="13"/>
      <c r="J64" s="13"/>
      <c r="K64" s="13">
        <v>1</v>
      </c>
      <c r="L64" s="13">
        <v>1</v>
      </c>
    </row>
    <row r="65" spans="8:12" x14ac:dyDescent="0.25">
      <c r="H65" s="12" t="s">
        <v>610</v>
      </c>
      <c r="I65" s="13">
        <v>5</v>
      </c>
      <c r="J65" s="13">
        <v>10</v>
      </c>
      <c r="K65" s="13">
        <v>48</v>
      </c>
      <c r="L65" s="13">
        <v>63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5CB6FE-A46B-498E-BAF4-2F09603833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travel_agents</vt:lpstr>
      <vt:lpstr>customers</vt:lpstr>
      <vt:lpstr>cars</vt:lpstr>
      <vt:lpstr>car_sales</vt:lpstr>
      <vt:lpstr>car_reviews</vt:lpstr>
      <vt:lpstr>car_rentals</vt:lpstr>
      <vt:lpstr>car_maintenance</vt:lpstr>
      <vt:lpstr>car_blocked_dates</vt:lpstr>
      <vt:lpstr>Pivots</vt:lpstr>
      <vt:lpstr>Dashboard</vt:lpstr>
      <vt:lpstr>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Madridanp</dc:creator>
  <cp:lastModifiedBy>Paolo Madridanp</cp:lastModifiedBy>
  <dcterms:created xsi:type="dcterms:W3CDTF">2026-02-17T08:20:15Z</dcterms:created>
  <dcterms:modified xsi:type="dcterms:W3CDTF">2026-02-17T12:21:55Z</dcterms:modified>
</cp:coreProperties>
</file>